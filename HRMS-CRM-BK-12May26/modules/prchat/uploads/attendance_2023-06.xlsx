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E175EA87-EC1C-4EA2-8868-79A52E8F003F}" xr6:coauthVersionLast="47" xr6:coauthVersionMax="47" xr10:uidLastSave="{00000000-0000-0000-0000-000000000000}"/>
  <bookViews>
    <workbookView xWindow="-108" yWindow="-108" windowWidth="23256" windowHeight="12456" tabRatio="212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I5" i="1" l="1"/>
  <c r="AI6" i="1"/>
  <c r="AI7" i="1"/>
  <c r="AI8" i="1"/>
  <c r="AI9" i="1"/>
  <c r="AI10" i="1"/>
  <c r="AI11" i="1"/>
  <c r="AI12" i="1"/>
  <c r="AI13" i="1"/>
  <c r="AI14" i="1"/>
  <c r="AI15" i="1"/>
  <c r="AI16" i="1"/>
  <c r="AI17" i="1"/>
  <c r="AI18" i="1"/>
  <c r="AI19" i="1"/>
  <c r="AI20" i="1"/>
  <c r="AI21" i="1"/>
  <c r="AI22" i="1"/>
  <c r="AI23" i="1"/>
  <c r="AI24" i="1"/>
  <c r="AI25" i="1"/>
  <c r="AI26" i="1"/>
  <c r="AI27" i="1"/>
  <c r="AI28" i="1"/>
  <c r="AI29" i="1"/>
  <c r="AI30" i="1"/>
  <c r="AI31" i="1"/>
  <c r="AI32" i="1"/>
  <c r="AI33" i="1"/>
  <c r="AI34" i="1"/>
  <c r="AI35" i="1"/>
  <c r="AI36" i="1"/>
  <c r="AI37" i="1"/>
  <c r="AI38" i="1"/>
  <c r="AI39" i="1"/>
  <c r="AI40" i="1"/>
  <c r="AI41" i="1"/>
  <c r="AI4" i="1"/>
  <c r="AH5" i="1"/>
  <c r="AH6" i="1"/>
  <c r="AH7" i="1"/>
  <c r="AH8" i="1"/>
  <c r="AH9" i="1"/>
  <c r="AH10" i="1"/>
  <c r="AH11" i="1"/>
  <c r="AH12" i="1"/>
  <c r="AH13" i="1"/>
  <c r="AH14" i="1"/>
  <c r="AH15" i="1"/>
  <c r="AH16" i="1"/>
  <c r="AH17" i="1"/>
  <c r="AH18" i="1"/>
  <c r="AH19" i="1"/>
  <c r="AH20" i="1"/>
  <c r="AH21" i="1"/>
  <c r="AH22" i="1"/>
  <c r="AH23" i="1"/>
  <c r="AH24" i="1"/>
  <c r="AH25" i="1"/>
  <c r="AH26" i="1"/>
  <c r="AH27" i="1"/>
  <c r="AH28" i="1"/>
  <c r="AH29" i="1"/>
  <c r="AH30" i="1"/>
  <c r="AH31" i="1"/>
  <c r="AH32" i="1"/>
  <c r="AH33" i="1"/>
  <c r="AH34" i="1"/>
  <c r="AH35" i="1"/>
  <c r="AH36" i="1"/>
  <c r="AH37" i="1"/>
  <c r="AH38" i="1"/>
  <c r="AH39" i="1"/>
  <c r="AH40" i="1"/>
  <c r="AH41" i="1"/>
  <c r="AH4" i="1"/>
  <c r="AG5" i="1"/>
  <c r="AG6" i="1"/>
  <c r="AG7" i="1"/>
  <c r="AG8" i="1"/>
  <c r="AG9" i="1"/>
  <c r="AG10" i="1"/>
  <c r="AG11" i="1"/>
  <c r="AG12" i="1"/>
  <c r="AG13" i="1"/>
  <c r="AG14" i="1"/>
  <c r="AG15" i="1"/>
  <c r="AG16" i="1"/>
  <c r="AG17" i="1"/>
  <c r="AG18" i="1"/>
  <c r="AG19" i="1"/>
  <c r="AG20" i="1"/>
  <c r="AG21" i="1"/>
  <c r="AG22" i="1"/>
  <c r="AG23" i="1"/>
  <c r="AG24" i="1"/>
  <c r="AG25" i="1"/>
  <c r="AG26" i="1"/>
  <c r="AG27" i="1"/>
  <c r="AG28" i="1"/>
  <c r="AG29" i="1"/>
  <c r="AG30" i="1"/>
  <c r="AG31" i="1"/>
  <c r="AG32" i="1"/>
  <c r="AG33" i="1"/>
  <c r="AG34" i="1"/>
  <c r="AG35" i="1"/>
  <c r="AG36" i="1"/>
  <c r="AG37" i="1"/>
  <c r="AG38" i="1"/>
  <c r="AG39" i="1"/>
  <c r="AG40" i="1"/>
  <c r="AG41" i="1"/>
  <c r="AG4" i="1"/>
</calcChain>
</file>

<file path=xl/sharedStrings.xml><?xml version="1.0" encoding="utf-8"?>
<sst xmlns="http://schemas.openxmlformats.org/spreadsheetml/2006/main" count="1240" uniqueCount="732">
  <si>
    <t>ID</t>
  </si>
  <si>
    <t>Staff</t>
  </si>
  <si>
    <t>Thu 01</t>
  </si>
  <si>
    <t>Fri 02</t>
  </si>
  <si>
    <t>Sat 03</t>
  </si>
  <si>
    <t>Sun 04</t>
  </si>
  <si>
    <t>Mon 05</t>
  </si>
  <si>
    <t>Tue 06</t>
  </si>
  <si>
    <t>Wed 07</t>
  </si>
  <si>
    <t>Thu 08</t>
  </si>
  <si>
    <t>Fri 09</t>
  </si>
  <si>
    <t>Sat 10</t>
  </si>
  <si>
    <t>Sun 11</t>
  </si>
  <si>
    <t>Mon 12</t>
  </si>
  <si>
    <t>Tue 13</t>
  </si>
  <si>
    <t>Wed 14</t>
  </si>
  <si>
    <t>Thu 15</t>
  </si>
  <si>
    <t>Fri 16</t>
  </si>
  <si>
    <t>Sat 17</t>
  </si>
  <si>
    <t>Sun 18</t>
  </si>
  <si>
    <t>Mon 19</t>
  </si>
  <si>
    <t>Tue 20</t>
  </si>
  <si>
    <t>Wed 21</t>
  </si>
  <si>
    <t>Thu 22</t>
  </si>
  <si>
    <t>Fri 23</t>
  </si>
  <si>
    <t>Sat 24</t>
  </si>
  <si>
    <t>Sun 25</t>
  </si>
  <si>
    <t>Mon 26</t>
  </si>
  <si>
    <t>Tue 27</t>
  </si>
  <si>
    <t>Wed 28</t>
  </si>
  <si>
    <t>Thu 29</t>
  </si>
  <si>
    <t>Fri 30</t>
  </si>
  <si>
    <t>249</t>
  </si>
  <si>
    <t>Aarti Jagtap</t>
  </si>
  <si>
    <t>[IN 09:41:13-Out 18:39:37][8 hr 58 min][short]</t>
  </si>
  <si>
    <t>[IN 09:40:50-Out 18:37:57][8 hr 57 min][short]</t>
  </si>
  <si>
    <t>[IN 09:37:39-Out 18:29:41][8 hr 52 min][short]</t>
  </si>
  <si>
    <t>NS</t>
  </si>
  <si>
    <t>[IN 09:39:41-Out 18:30:07][8 hr 50 min][short]</t>
  </si>
  <si>
    <t>[IN 09:42:05-Out 18:31:48][8 hr 49 min][short]</t>
  </si>
  <si>
    <t>[IN 09:46:25-Out 18:33:03][8 hr 46 min][short]</t>
  </si>
  <si>
    <t>[IN 09:41:48-Out 18:31:09][8 hr 49 min][short]</t>
  </si>
  <si>
    <t>[IN 09:39:55-Out 18:31:12][8 hr 51 min][short]</t>
  </si>
  <si>
    <t>[IN 09:41:49-Out 18:50:22][9 hr 8 min]</t>
  </si>
  <si>
    <t>[IN 09:39:56-Out 18:40:18][9 hr 0 min]</t>
  </si>
  <si>
    <t>[IN 09:44:34-Out 18:45:16][9 hr 0 min]</t>
  </si>
  <si>
    <t>[IN 09:38:58-Out 18:43:54][9 hr 4 min]</t>
  </si>
  <si>
    <t>[IN 09:44:04-Out 18:58:16][9 hr 14 min]</t>
  </si>
  <si>
    <t>[IN 09:31:16-Out 18:32:19][9 hr 1 min]</t>
  </si>
  <si>
    <t>[IN 09:46:40-Out 18:37:46][8 hr 51 min][short]</t>
  </si>
  <si>
    <t>[IN 09:42:04-Out 18:44:09][9 hr 2 min]</t>
  </si>
  <si>
    <t>[IN 09:49:40-Out 19:06:56][9 hr 17 min]</t>
  </si>
  <si>
    <t>[IN 09:30:25-Out 18:35:13][9 hr 4 min]</t>
  </si>
  <si>
    <t>[IN 09:34:08-Out 18:58:21][9 hr 24 min]</t>
  </si>
  <si>
    <t>[IN 09:50:02-Out 18:51:24][9 hr 1 min]</t>
  </si>
  <si>
    <t>[IN 09:47:47-Out 18:48:11][9 hr 0 min]</t>
  </si>
  <si>
    <t>[IN 09:39:14-Out 18:47:37][9 hr 8 min]</t>
  </si>
  <si>
    <t>[IN 09:43:38-Out 18:44:45][9 hr 1 min]</t>
  </si>
  <si>
    <t>220</t>
  </si>
  <si>
    <t>Abdul Hadi</t>
  </si>
  <si>
    <t>[IN 09:34:42-Out 19:25:25][9 hr 50 min]</t>
  </si>
  <si>
    <t>[IN 09:44:57-Out 19:16:58][9 hr 32 min]</t>
  </si>
  <si>
    <t>[IN 09:37:29-Out 18:43:21][9 hr 5 min]</t>
  </si>
  <si>
    <t>[IN 09:41:15-Out 19:21:04][9 hr 39 min]</t>
  </si>
  <si>
    <t>[IN 09:39:30-Out 18:55:26][9 hr 15 min]</t>
  </si>
  <si>
    <t>[IN 09:38:04-Out 18:52:37][9 hr 14 min]</t>
  </si>
  <si>
    <t>[IN 09:52:36-Out 19:16:29][9 hr 23 min]</t>
  </si>
  <si>
    <t>[IN 09:37:38-Out 18:30:56][8 hr 53 min][short]</t>
  </si>
  <si>
    <t>[IN 09:42:22-IN 09:42:44-Out 18:42:28][9 hr 0 min]</t>
  </si>
  <si>
    <t>275</t>
  </si>
  <si>
    <t>Abhijeet Gole</t>
  </si>
  <si>
    <t>[IN 11:24:20-Out 18:45:30][7 hr 21 min][late][short]</t>
  </si>
  <si>
    <t>[IN 09:39:58-Out 18:38:55][8 hr 58 min][short]</t>
  </si>
  <si>
    <t>253</t>
  </si>
  <si>
    <t>Abhishek Pise</t>
  </si>
  <si>
    <t>[IN 09:54:00-Out 19:04:37][9 hr 10 min]</t>
  </si>
  <si>
    <t>[IN 09:31:12-Out 18:55:50][9 hr 24 min]</t>
  </si>
  <si>
    <t>[IN 09:43:20-Out 18:41:02][8 hr 57 min][short]</t>
  </si>
  <si>
    <t>[IN 09:56:49-Out 19:03:46][9 hr 6 min]</t>
  </si>
  <si>
    <t>[IN 09:31:15-Out 17:42:21][8 hr 11 min][short]</t>
  </si>
  <si>
    <t>[IN 10:01:23-Out 13:48:23][3 hr 47 min][late][short]</t>
  </si>
  <si>
    <t>[IN 09:38:49-Out 19:08:14][9 hr 29 min]</t>
  </si>
  <si>
    <t>[IN 09:57:59-Out 19:35:38][9 hr 37 min]</t>
  </si>
  <si>
    <t>[IN 09:32:35-Out 18:54:35][9 hr 22 min]</t>
  </si>
  <si>
    <t>[IN 15:25:15-Out 19:25:23][4 hr 0 min][late][short]</t>
  </si>
  <si>
    <t>[IN 10:07:50-Out 19:08:04][9 hr 0 min][late]</t>
  </si>
  <si>
    <t>[IN 09:56:31-Out 20:33:15][10 hr 36 min]</t>
  </si>
  <si>
    <t>[IN 09:47:55-Out 18:56:55][9 hr 9 min]</t>
  </si>
  <si>
    <t>[IN 09:34:46-Out 18:40:49][9 hr 6 min]</t>
  </si>
  <si>
    <t>[IN 09:38:19-Out 18:46:10][9 hr 7 min]</t>
  </si>
  <si>
    <t>236</t>
  </si>
  <si>
    <t>Aditya  Nevrekar</t>
  </si>
  <si>
    <t>[IN 10:32:02-Out 19:26:02][8 hr 54 min][late][short]</t>
  </si>
  <si>
    <t>[IN 09:55:21-Out 20:04:15][10 hr 8 min]</t>
  </si>
  <si>
    <t>[IN 10:04:11-Out 19:21:53][9 hr 17 min][late]</t>
  </si>
  <si>
    <t>[IN 09:55:12-Out 20:02:25][10 hr 7 min]</t>
  </si>
  <si>
    <t>[IN 09:51:14-Out 19:17:55][9 hr 26 min]</t>
  </si>
  <si>
    <t>[IN 09:47:05-Out 20:12:56][10 hr 25 min]</t>
  </si>
  <si>
    <t>[IN 09:52:55-Out 19:41:14][9 hr 48 min]</t>
  </si>
  <si>
    <t>[IN 10:21:42-Out 19:52:26][9 hr 30 min][late]</t>
  </si>
  <si>
    <t>[IN 11:18:51-Out 19:23:41][8 hr 4 min][late][short]</t>
  </si>
  <si>
    <t>[IN 10:32:06-Out 20:09:04][9 hr 36 min][late]</t>
  </si>
  <si>
    <t>[IN 10:06:16-Out 19:28:56][9 hr 22 min][late]</t>
  </si>
  <si>
    <t>[IN 09:59:38-Out 19:06:16][9 hr 6 min]</t>
  </si>
  <si>
    <t>[IN 09:48:06-Out 18:30:42][8 hr 42 min][short]</t>
  </si>
  <si>
    <t>[IN 10:21:47-Out 18:53:15][8 hr 31 min][late][short]</t>
  </si>
  <si>
    <t>[IN 09:48:10-Out 19:36:13][9 hr 48 min]</t>
  </si>
  <si>
    <t>[IN 09:52:19-Out 19:29:12][9 hr 36 min]</t>
  </si>
  <si>
    <t>[IN 09:34:48-Out 19:03:11][9 hr 28 min]</t>
  </si>
  <si>
    <t>[IN 09:42:13-Out 19:18:36][9 hr 36 min]</t>
  </si>
  <si>
    <t>[IN 09:56:46-Out 19:03:51][9 hr 7 min]</t>
  </si>
  <si>
    <t>[IN 10:01:50-Out 18:48:27][8 hr 46 min][late][short]</t>
  </si>
  <si>
    <t>[IN 09:56:50-Out 19:37:08][9 hr 40 min]</t>
  </si>
  <si>
    <t>[IN 10:07:40-Out 19:08:36][9 hr 0 min][late]</t>
  </si>
  <si>
    <t>[IN 10:45:48-Out 19:31:12][8 hr 45 min][late][short]</t>
  </si>
  <si>
    <t>19</t>
  </si>
  <si>
    <t>Ajinkya Bhalerao</t>
  </si>
  <si>
    <t>[IN 10:21:30-Out 20:04:12][9 hr 42 min][late]</t>
  </si>
  <si>
    <t>[IN 10:13:46-Out 19:44:53][9 hr 31 min][late]</t>
  </si>
  <si>
    <t>[IN 10:15:46-Out 20:02:05][9 hr 46 min][late]</t>
  </si>
  <si>
    <t>[IN 10:35:24-Out 20:01:58][9 hr 26 min][late]</t>
  </si>
  <si>
    <t>[IN 10:30:08-Out 20:23:30][9 hr 53 min][late]</t>
  </si>
  <si>
    <t>[IN 10:19:38-Out 19:55:24][9 hr 35 min][late]</t>
  </si>
  <si>
    <t>[IN 10:25:32-Out 19:50:14][9 hr 24 min][late]</t>
  </si>
  <si>
    <t>[IN 10:22:15-Out 19:35:54][9 hr 13 min][late]</t>
  </si>
  <si>
    <t>[IN 10:35:38-Out 19:32:09][8 hr 56 min][late][short]</t>
  </si>
  <si>
    <t>[IN 10:24:41-Out 19:32:22][9 hr 7 min][late]</t>
  </si>
  <si>
    <t>[IN 10:15:27-Out 19:18:19][9 hr 2 min][late]</t>
  </si>
  <si>
    <t>[IN 09:48:50-Out 20:38:28][10 hr 49 min]</t>
  </si>
  <si>
    <t>[IN 10:31:11-Out 19:45:58][9 hr 14 min][late]</t>
  </si>
  <si>
    <t>[IN 10:33:17-Out 19:34:21][9 hr 1 min][late]</t>
  </si>
  <si>
    <t>[IN 10:36:27-Out 19:25:43][8 hr 49 min][late][short]</t>
  </si>
  <si>
    <t>[IN 10:22:26-Out 20:02:59][9 hr 40 min][late]</t>
  </si>
  <si>
    <t>[IN 10:36:33-Out 19:38:26][9 hr 1 min][late]</t>
  </si>
  <si>
    <t>[IN 10:42:10-Out 19:26:46][8 hr 44 min][late][short]</t>
  </si>
  <si>
    <t>[IN 10:28:48-Out 19:49:43][9 hr 20 min][late]</t>
  </si>
  <si>
    <t>[IN 10:25:15-Out 19:53:18][9 hr 28 min][late]</t>
  </si>
  <si>
    <t>[IN 10:34:43-Out 19:36:31][9 hr 1 min][late]</t>
  </si>
  <si>
    <t>272</t>
  </si>
  <si>
    <t>Akash Agrawal</t>
  </si>
  <si>
    <t>[IN 11:56:04-Out 19:20:57][7 hr 24 min][late][short]</t>
  </si>
  <si>
    <t>[IN 10:01:17-Out 19:06:13][9 hr 4 min][late]</t>
  </si>
  <si>
    <t>[IN 09:26:47-Out 19:36:24][10 hr 9 min]</t>
  </si>
  <si>
    <t>[IN 09:36:37-Out 19:29:42][9 hr 53 min]</t>
  </si>
  <si>
    <t>[IN 09:36:32-Out 19:31:17][9 hr 54 min]</t>
  </si>
  <si>
    <t>[IN 09:43:38-Out 19:24:51][9 hr 41 min]</t>
  </si>
  <si>
    <t>[IN 09:40:08-Out 19:53:07][10 hr 12 min]</t>
  </si>
  <si>
    <t>[IN 09:34:26-Out 18:53:54][9 hr 19 min]</t>
  </si>
  <si>
    <t>[IN 09:39:11-Out 19:33:11][9 hr 54 min]</t>
  </si>
  <si>
    <t>[IN 09:28:03-Out 19:07:18][9 hr 39 min]</t>
  </si>
  <si>
    <t>[IN 09:42:31-Out 19:27:31][9 hr 45 min]</t>
  </si>
  <si>
    <t>[IN 09:48:07-Out 19:22:34][9 hr 34 min]</t>
  </si>
  <si>
    <t>200</t>
  </si>
  <si>
    <t>Akshay  Bhagawe</t>
  </si>
  <si>
    <t>[IN 12:48:08-Out 15:18:50][2 hr 30 min][late][short]</t>
  </si>
  <si>
    <t>[IN 13:36:45-Out 17:28:28-IN 21:27:38][7 hr 50 min][late][short]</t>
  </si>
  <si>
    <t>[IN 08:41:09-Out 13:02:53-IN 19:33:11-Out 19:59:19][11 hr 18 min]</t>
  </si>
  <si>
    <t>[IN 18:59:09-Out 22:43:22][3 hr 44 min][late][short]</t>
  </si>
  <si>
    <t>[IN 11:31:30-Out 14:13:29][2 hr 41 min][late][short]</t>
  </si>
  <si>
    <t>[IN 12:34:33-Out 14:57:56][2 hr 23 min][late][short]</t>
  </si>
  <si>
    <t>[IN 10:03:21-Out 13:31:18][3 hr 27 min][late][short]</t>
  </si>
  <si>
    <t>[IN 09:08:34-Out 11:32:05][2 hr 23 min][short]</t>
  </si>
  <si>
    <t>[IN 13:27:09-Out 16:21:37][2 hr 54 min][late][short]</t>
  </si>
  <si>
    <t>[IN 16:37:35-Out 17:53:33][1 hr 15 min][late][short]</t>
  </si>
  <si>
    <t>[IN 20:24:55-Out 22:42:25][2 hr 17 min][late][short]</t>
  </si>
  <si>
    <t>222</t>
  </si>
  <si>
    <t>Aman Pandey</t>
  </si>
  <si>
    <t>[IN 10:07:22-Out 19:44:28][9 hr 37 min][late]</t>
  </si>
  <si>
    <t>[IN 10:15:58-Out 20:03:17][9 hr 47 min][late]</t>
  </si>
  <si>
    <t>[IN 10:31:47-Out 20:58:45][10 hr 26 min][late]</t>
  </si>
  <si>
    <t>[IN 10:16:59-Out 20:17:59][10 hr 1 min][late]</t>
  </si>
  <si>
    <t>[IN 10:23:05-Out 20:44:19][10 hr 21 min][late]</t>
  </si>
  <si>
    <t>[IN 10:13:34-Out 19:36:46][9 hr 23 min][late]</t>
  </si>
  <si>
    <t>[IN 10:32:48-Out 20:18:35][9 hr 45 min][late]</t>
  </si>
  <si>
    <t>[IN 11:50:33-Out 19:30:54][7 hr 40 min][late][short]</t>
  </si>
  <si>
    <t>[IN 10:21:18-Out 19:15:19][8 hr 54 min][late][short]</t>
  </si>
  <si>
    <t>[IN 12:01:45-Out 19:35:34][7 hr 33 min][late][short]</t>
  </si>
  <si>
    <t>[IN 10:16:35-Out 19:32:35][9 hr 16 min][late]</t>
  </si>
  <si>
    <t>[IN 10:24:20-Out 19:24:34][9 hr 0 min][late]</t>
  </si>
  <si>
    <t>[IN 10:32:12-Out 19:37:05][9 hr 4 min][late]</t>
  </si>
  <si>
    <t>[IN 11:00:13-Out 19:38:18][8 hr 38 min][late][short]</t>
  </si>
  <si>
    <t>[IN 10:25:45-Out 19:06:47][8 hr 41 min][late][short]</t>
  </si>
  <si>
    <t>[IN 12:50:58-Out 19:32:33][6 hr 41 min][late][short]</t>
  </si>
  <si>
    <t>[IN 10:29:18-Out 18:38:53][8 hr 9 min][late][short]</t>
  </si>
  <si>
    <t>[IN 10:23:31-Out 19:17:45][8 hr 54 min][late][short]</t>
  </si>
  <si>
    <t>[IN 10:06:44-Out 19:43:40][9 hr 36 min][late]</t>
  </si>
  <si>
    <t>[IN 10:24:50-Out 20:02:03][9 hr 37 min][late]</t>
  </si>
  <si>
    <t>[IN 19:45:46-Out 19:46:38][0 hr 0 min][late][short]</t>
  </si>
  <si>
    <t>262</t>
  </si>
  <si>
    <t>Anisha Patil</t>
  </si>
  <si>
    <t>[IN 09:41:17-Out 18:34:19][8 hr 53 min][short]</t>
  </si>
  <si>
    <t>[IN 09:31:08-Out 18:41:37][9 hr 10 min]</t>
  </si>
  <si>
    <t>[IN 09:35:26-Out 18:41:24][9 hr 5 min]</t>
  </si>
  <si>
    <t>[IN 09:58:18-Out 18:33:43][8 hr 35 min][short]</t>
  </si>
  <si>
    <t>[IN 09:58:49-Out 18:58:11][8 hr 59 min][short]</t>
  </si>
  <si>
    <t>[IN 10:09:50-Out 18:53:00][8 hr 43 min][late][short]</t>
  </si>
  <si>
    <t>[IN 09:45:59-Out 18:48:57][9 hr 2 min]</t>
  </si>
  <si>
    <t>[IN 09:52:18-Out 19:05:24][9 hr 13 min]</t>
  </si>
  <si>
    <t>[IN 09:26:51-Out 18:44:52][9 hr 18 min]</t>
  </si>
  <si>
    <t>[IN 10:01:00-Out 18:46:26][8 hr 45 min][late][short]</t>
  </si>
  <si>
    <t>[IN 15:24:11-Out 18:55:32][3 hr 31 min][late][short]</t>
  </si>
  <si>
    <t>[IN 09:38:41-Out 18:42:22][9 hr 3 min]</t>
  </si>
  <si>
    <t>[IN 09:56:07-Out 18:38:36][8 hr 42 min][short]</t>
  </si>
  <si>
    <t>[IN 09:48:15-Out 18:53:31][9 hr 5 min]</t>
  </si>
  <si>
    <t>[IN 09:35:47-Out 18:37:31][9 hr 1 min]</t>
  </si>
  <si>
    <t>[IN 09:39:21-Out 18:45:55][9 hr 6 min]</t>
  </si>
  <si>
    <t>257</t>
  </si>
  <si>
    <t>Ankit Jalan</t>
  </si>
  <si>
    <t>114</t>
  </si>
  <si>
    <t>Ashishkumar Gaikwad</t>
  </si>
  <si>
    <t>[IN 10:02:28-Out 19:19:54][9 hr 17 min][late]</t>
  </si>
  <si>
    <t>[IN 09:52:04-Out 19:04:54][9 hr 12 min]</t>
  </si>
  <si>
    <t>[IN 09:33:12-Out 19:04:58][9 hr 31 min]</t>
  </si>
  <si>
    <t>[IN 09:35:50-Out 19:01:05][9 hr 25 min]</t>
  </si>
  <si>
    <t>[IN 09:26:43-Out 19:42:05][10 hr 15 min]</t>
  </si>
  <si>
    <t>[IN 10:31:48-Out 19:49:01][9 hr 17 min][late]</t>
  </si>
  <si>
    <t>[IN 10:37:41-Out 19:13:17][8 hr 35 min][late][short]</t>
  </si>
  <si>
    <t>[IN 09:56:24-Out 20:13:06][10 hr 16 min]</t>
  </si>
  <si>
    <t>[IN 10:20:01-Out 23:44:29][13 hr 24 min][late]</t>
  </si>
  <si>
    <t>[IN 09:54:11-Out 21:26:44][11 hr 32 min]</t>
  </si>
  <si>
    <t>[IN 09:49:09-Out 23:14:29][13 hr 25 min]</t>
  </si>
  <si>
    <t>[IN 09:38:37-Out 18:38:48][9 hr 0 min]</t>
  </si>
  <si>
    <t>[IN 09:40:41-Out 18:43:05][9 hr 2 min]</t>
  </si>
  <si>
    <t>[IN 09:58:15-Out 18:59:39][9 hr 1 min]</t>
  </si>
  <si>
    <t>[IN 10:03:40-Out 19:22:29][9 hr 18 min][late]</t>
  </si>
  <si>
    <t>[IN 09:46:43-Out 19:21:20][9 hr 34 min]</t>
  </si>
  <si>
    <t>[IN 09:39:36-Out 19:27:20][9 hr 47 min]</t>
  </si>
  <si>
    <t>[IN 10:18:37-Out 21:02:21][10 hr 43 min][late]</t>
  </si>
  <si>
    <t>[IN 09:36:38-Out 22:25:42][12 hr 49 min]</t>
  </si>
  <si>
    <t>[IN 09:55:48-Out 21:02:48][11 hr 7 min]</t>
  </si>
  <si>
    <t>[IN 09:37:55-Out 21:22:33][11 hr 44 min]</t>
  </si>
  <si>
    <t>267</t>
  </si>
  <si>
    <t>Avadhut Phatak</t>
  </si>
  <si>
    <t>[IN 10:19:02-Out 19:18:50][8 hr 59 min][late]</t>
  </si>
  <si>
    <t>[IN 19:08:28-Out 19:08:47][0 hr 0 min][late][short]</t>
  </si>
  <si>
    <t>[IN 10:00:25-Out 19:19:05][9 hr 18 min][late]</t>
  </si>
  <si>
    <t>[IN 09:59:12-Out 19:15:44][9 hr 16 min]</t>
  </si>
  <si>
    <t>[IN 10:26:51-Out 19:21:56][8 hr 55 min][late][short]</t>
  </si>
  <si>
    <t>[IN 09:59:15-Out 19:00:10][9 hr 0 min]</t>
  </si>
  <si>
    <t>[IN 10:00:25-Out 19:00:11][8 hr 59 min][late]</t>
  </si>
  <si>
    <t>[IN 09:57:28-Out 18:59:29][9 hr 2 min]</t>
  </si>
  <si>
    <t>[IN 09:57:57-Out 19:00:19][9 hr 2 min]</t>
  </si>
  <si>
    <t>[IN 10:19:18-Out 19:49:56][9 hr 30 min][late]</t>
  </si>
  <si>
    <t>[IN 10:09:07-Out 19:10:57][9 hr 1 min][late]</t>
  </si>
  <si>
    <t>[IN 10:21:08-Out 19:11:29][8 hr 50 min][late][short]</t>
  </si>
  <si>
    <t>[IN 10:09:33-Out 19:27:49][9 hr 18 min][late]</t>
  </si>
  <si>
    <t>[IN 10:26:05-Out 19:15:20][8 hr 49 min][late][short]</t>
  </si>
  <si>
    <t>[IN 10:18:10-Out 19:30:37][9 hr 12 min][late]</t>
  </si>
  <si>
    <t>[IN 10:53:13-Out 19:20:56][8 hr 27 min][late][short]</t>
  </si>
  <si>
    <t>[IN 15:10:35-Out 19:21:42][4 hr 11 min][late][short]</t>
  </si>
  <si>
    <t>[IN 10:15:50-Out 19:11:20][8 hr 55 min][late][short]</t>
  </si>
  <si>
    <t>[IN 15:12:40-Out 19:22:18][4 hr 9 min][late][short]</t>
  </si>
  <si>
    <t>[IN 10:05:15-Out 19:09:52][9 hr 4 min][late]</t>
  </si>
  <si>
    <t>[IN 10:14:15-Out 19:36:21][9 hr 22 min][late]</t>
  </si>
  <si>
    <t>[IN 10:29:08-Out 19:01:12][8 hr 32 min][late][short]</t>
  </si>
  <si>
    <t>255</t>
  </si>
  <si>
    <t>Durga Naik</t>
  </si>
  <si>
    <t>[IN 09:46:13-Out 18:55:05][9 hr 8 min]</t>
  </si>
  <si>
    <t>[IN 10:00:06-Out 19:00:58][9 hr 0 min][late]</t>
  </si>
  <si>
    <t>[IN 10:18:27-Out 19:18:33][9 hr 0 min][late]</t>
  </si>
  <si>
    <t>[IN 10:15:37-Out 19:12:38][8 hr 57 min][late][short]</t>
  </si>
  <si>
    <t>[IN 09:55:20-Out 19:00:19][9 hr 4 min]</t>
  </si>
  <si>
    <t>[IN 09:51:36-Out 19:04:31][9 hr 12 min]</t>
  </si>
  <si>
    <t>[IN 09:38:32-Out 19:24:02][9 hr 45 min]</t>
  </si>
  <si>
    <t>[IN 10:23:01-Out 19:08:10][8 hr 45 min][late][short]</t>
  </si>
  <si>
    <t>[IN 11:00:56-Out 19:13:50][8 hr 12 min][late][short]</t>
  </si>
  <si>
    <t>[IN 10:37:37-Out 18:46:40][8 hr 9 min][late][short]</t>
  </si>
  <si>
    <t>[IN 10:31:06-Out 19:17:18][8 hr 46 min][late][short]</t>
  </si>
  <si>
    <t>[IN 09:53:18-Out 19:03:56][9 hr 10 min]</t>
  </si>
  <si>
    <t>[IN 09:50:25-Out 19:48:46][9 hr 58 min]</t>
  </si>
  <si>
    <t>[IN 10:52:44-Out 15:14:44][4 hr 22 min][late][short]</t>
  </si>
  <si>
    <t>154</t>
  </si>
  <si>
    <t>Gayatri Shinde</t>
  </si>
  <si>
    <t>[IN 09:16:39-Out 18:34:42][9 hr 18 min]</t>
  </si>
  <si>
    <t>[IN 09:26:22-Out 18:43:57][9 hr 17 min]</t>
  </si>
  <si>
    <t>[IN 09:15:56-Out 18:35:09][9 hr 19 min]</t>
  </si>
  <si>
    <t>[IN 09:28:57-Out 18:33:17][9 hr 4 min]</t>
  </si>
  <si>
    <t>[IN 09:16:51-Out 18:40:43][9 hr 23 min]</t>
  </si>
  <si>
    <t>[IN 09:16:40-Out 18:33:04][9 hr 16 min]</t>
  </si>
  <si>
    <t>[IN 09:24:44-Out 18:45:15][9 hr 20 min]</t>
  </si>
  <si>
    <t>[IN 09:20:24-Out 19:01:13][9 hr 40 min]</t>
  </si>
  <si>
    <t>[IN 09:24:14-Out 18:40:12][9 hr 15 min]</t>
  </si>
  <si>
    <t>[IN 09:18:44-Out 20:01:27][10 hr 42 min]</t>
  </si>
  <si>
    <t>[IN 09:25:36-Out 18:49:34][9 hr 23 min]</t>
  </si>
  <si>
    <t>[IN 09:22:57-Out 18:40:37][9 hr 17 min]</t>
  </si>
  <si>
    <t>[IN 09:17:37-Out 19:10:07][9 hr 52 min]</t>
  </si>
  <si>
    <t>[IN 09:20:48-Out 18:32:46][9 hr 11 min]</t>
  </si>
  <si>
    <t>[IN 09:25:14-Out 18:45:26][9 hr 20 min]</t>
  </si>
  <si>
    <t>[IN 09:19:49-Out 18:45:23][9 hr 25 min]</t>
  </si>
  <si>
    <t>[IN 09:28:58-Out 18:47:06][9 hr 18 min]</t>
  </si>
  <si>
    <t>[IN 09:14:05-Out 18:35:33][9 hr 21 min]</t>
  </si>
  <si>
    <t>[IN 09:23:41-Out 18:32:03][9 hr 8 min]</t>
  </si>
  <si>
    <t>[IN 09:15:50-Out 18:47:24][9 hr 31 min]</t>
  </si>
  <si>
    <t>[IN 09:17:55-Out 18:38:51][9 hr 20 min]</t>
  </si>
  <si>
    <t>183</t>
  </si>
  <si>
    <t>Gaziya Desai</t>
  </si>
  <si>
    <t>[IN 09:49:36-Out 22:21:22][12 hr 31 min]</t>
  </si>
  <si>
    <t>[IN 09:50:49-Out 23:26:57][13 hr 36 min]</t>
  </si>
  <si>
    <t>[IN 10:08:21-Out 22:48:27][12 hr 40 min][late]</t>
  </si>
  <si>
    <t>[IN 09:43:48-Out 21:27:04][11 hr 43 min]</t>
  </si>
  <si>
    <t>[IN 10:57:56-Out 20:59:01][10 hr 1 min][late]</t>
  </si>
  <si>
    <t>[IN 10:06:21-Out 23:06:28][13 hr 0 min][late]</t>
  </si>
  <si>
    <t>[IN 09:12:12-Out 23:12:23][14 hr 0 min]</t>
  </si>
  <si>
    <t>[IN 10:04:05-Out 22:04:35][12 hr 0 min][late]</t>
  </si>
  <si>
    <t>[IN 09:56:23-Out 21:25:47][11 hr 29 min]</t>
  </si>
  <si>
    <t>[IN 10:14:58-Out 22:33:30][12 hr 18 min][late]</t>
  </si>
  <si>
    <t>[IN 09:54:18-Out 21:20:27][11 hr 26 min]</t>
  </si>
  <si>
    <t>[IN 11:37:42-Out 20:56:42][9 hr 19 min][late]</t>
  </si>
  <si>
    <t>[IN 09:59:54-Out 20:40:56][10 hr 41 min]</t>
  </si>
  <si>
    <t>[IN 10:05:16-Out 21:57:59][11 hr 52 min][late]</t>
  </si>
  <si>
    <t>[IN 09:54:09-Out 22:19:06][12 hr 24 min]</t>
  </si>
  <si>
    <t>[IN 09:47:12-Out 20:00:49][10 hr 13 min]</t>
  </si>
  <si>
    <t>[IN 10:30:11-Out 22:46:53][12 hr 16 min][late]</t>
  </si>
  <si>
    <t>274</t>
  </si>
  <si>
    <t>Hemangi Jawale</t>
  </si>
  <si>
    <t>[IN 09:43:00-Out 18:32:00][8 hr 49 min][short]</t>
  </si>
  <si>
    <t>254</t>
  </si>
  <si>
    <t>Hrithik Dalvi</t>
  </si>
  <si>
    <t>[IN 10:00:07-Out 18:53:56][8 hr 53 min][late][short]</t>
  </si>
  <si>
    <t>[IN 09:49:51-Out 18:49:08][8 hr 59 min][short]</t>
  </si>
  <si>
    <t>[IN 09:32:47-Out 18:40:17][9 hr 7 min]</t>
  </si>
  <si>
    <t>[IN 10:00:50-Out 19:07:27][9 hr 6 min][late]</t>
  </si>
  <si>
    <t>[IN 10:33:24-Out 16:12:36][5 hr 39 min][late][short]</t>
  </si>
  <si>
    <t>[IN 10:14:02-Out 19:04:12][8 hr 50 min][late][short]</t>
  </si>
  <si>
    <t>[IN 10:07:32-Out 18:51:16][8 hr 43 min][late][short]</t>
  </si>
  <si>
    <t>[IN 09:54:30-Out 18:54:20][8 hr 59 min]</t>
  </si>
  <si>
    <t>[IN 09:57:55-Out 18:48:48][8 hr 50 min][short]</t>
  </si>
  <si>
    <t>[IN 09:52:17-Out 18:47:09][8 hr 54 min][short]</t>
  </si>
  <si>
    <t>[IN 10:10:47-Out 18:50:11][8 hr 39 min][late][short]</t>
  </si>
  <si>
    <t>[IN 09:46:15-Out 18:46:06][8 hr 59 min]</t>
  </si>
  <si>
    <t>[IN 09:56:24-Out 18:37:34][8 hr 41 min][short]</t>
  </si>
  <si>
    <t>[IN 10:37:56-Out 18:56:33][8 hr 18 min][late][short]</t>
  </si>
  <si>
    <t>[IN 10:29:06-Out 19:05:10][8 hr 36 min][late][short]</t>
  </si>
  <si>
    <t>[IN 10:06:06-Out 19:02:34][8 hr 56 min][late][short]</t>
  </si>
  <si>
    <t>[IN 10:04:34-Out 19:58:28][9 hr 53 min][late]</t>
  </si>
  <si>
    <t>[IN 10:24:11-Out 19:01:18][8 hr 37 min][late][short]</t>
  </si>
  <si>
    <t>[IN 10:07:51-Out 19:10:40][9 hr 2 min][late]</t>
  </si>
  <si>
    <t>[IN 09:48:43-Out 18:46:52][8 hr 58 min][short]</t>
  </si>
  <si>
    <t>[IN 09:58:36-Out 18:43:48][8 hr 45 min][short]</t>
  </si>
  <si>
    <t>228</t>
  </si>
  <si>
    <t>Janani  Vikraman</t>
  </si>
  <si>
    <t>[IN 09:36:07-Out 19:12:10][9 hr 36 min]</t>
  </si>
  <si>
    <t>[IN 09:29:05-Out 19:18:30][9 hr 49 min]</t>
  </si>
  <si>
    <t>[IN 09:27:13-Out 19:22:19][9 hr 55 min]</t>
  </si>
  <si>
    <t>[IN 09:30:59-Out 19:42:20][10 hr 11 min]</t>
  </si>
  <si>
    <t>[IN 09:32:31-Out 19:18:25][9 hr 45 min]</t>
  </si>
  <si>
    <t>[IN 09:30:24-Out 19:25:48][9 hr 55 min]</t>
  </si>
  <si>
    <t>[IN 09:31:44-Out 19:03:41][9 hr 31 min]</t>
  </si>
  <si>
    <t>[IN 09:29:22-Out 18:53:20][9 hr 23 min]</t>
  </si>
  <si>
    <t>[IN 09:27:53-Out 19:15:21][9 hr 47 min]</t>
  </si>
  <si>
    <t>[IN 09:32:36-Out 19:38:34][10 hr 5 min]</t>
  </si>
  <si>
    <t>[IN 09:32:41-Out 20:09:50][10 hr 37 min]</t>
  </si>
  <si>
    <t>[IN 09:16:50-Out 18:48:37][9 hr 31 min]</t>
  </si>
  <si>
    <t>[IN 09:35:20-Out 19:46:08][10 hr 10 min]</t>
  </si>
  <si>
    <t>[IN 09:53:41-Out 20:34:17][10 hr 40 min]</t>
  </si>
  <si>
    <t>[IN 09:15:21-Out 19:19:03][10 hr 3 min]</t>
  </si>
  <si>
    <t>[IN 09:27:55-Out 19:20:18][9 hr 52 min]</t>
  </si>
  <si>
    <t>[IN 09:21:13-Out 21:23:58][12 hr 2 min]</t>
  </si>
  <si>
    <t>[IN 09:33:18-Out 19:20:45][9 hr 47 min]</t>
  </si>
  <si>
    <t>[IN 09:32:59-Out 19:07:40][9 hr 34 min]</t>
  </si>
  <si>
    <t>[IN 09:32:12-Out 19:25:32][9 hr 53 min]</t>
  </si>
  <si>
    <t>[IN 09:28:44-Out 20:16:03][10 hr 47 min]</t>
  </si>
  <si>
    <t>[IN 09:34:01-Out 20:30:26][10 hr 56 min]</t>
  </si>
  <si>
    <t>[IN 09:31:03-Out 19:09:50][9 hr 38 min]</t>
  </si>
  <si>
    <t>268</t>
  </si>
  <si>
    <t>Krushna Chepurwar</t>
  </si>
  <si>
    <t>[IN 09:24:27-Out 19:06:55][9 hr 42 min]</t>
  </si>
  <si>
    <t>[IN 09:27:35-Out 18:50:41][9 hr 23 min]</t>
  </si>
  <si>
    <t>[IN 12:05:43-Out 18:42:33][6 hr 36 min][late][short]</t>
  </si>
  <si>
    <t>[IN 09:22:21-Out 18:49:01][9 hr 26 min]</t>
  </si>
  <si>
    <t>[IN 10:07:01-Out 19:48:03][9 hr 41 min][late]</t>
  </si>
  <si>
    <t>[IN 09:32:37-Out 20:08:16][10 hr 35 min]</t>
  </si>
  <si>
    <t>[IN 09:22:56-Out 19:26:27][10 hr 3 min]</t>
  </si>
  <si>
    <t>[IN 09:15:36-Out 19:12:40][9 hr 57 min]</t>
  </si>
  <si>
    <t>[IN 09:25:04-Out 19:06:42][9 hr 41 min]</t>
  </si>
  <si>
    <t>[IN 09:11:40-Out 19:55:16][10 hr 43 min]</t>
  </si>
  <si>
    <t>[IN 09:11:21-Out 18:55:06][9 hr 43 min]</t>
  </si>
  <si>
    <t>[IN 09:17:34-Out 19:02:24][9 hr 44 min]</t>
  </si>
  <si>
    <t>[IN 09:08:56-Out 17:59:21][8 hr 50 min][short]</t>
  </si>
  <si>
    <t>[IN 09:30:57-Out 18:31:09][9 hr 0 min]</t>
  </si>
  <si>
    <t>[IN 09:27:30-Out 18:40:14][9 hr 12 min]</t>
  </si>
  <si>
    <t>[IN 09:26:17-Out 18:17:43][8 hr 51 min][short]</t>
  </si>
  <si>
    <t>[IN 09:18:04-Out 18:48:47][9 hr 30 min]</t>
  </si>
  <si>
    <t>[IN 09:33:22-Out 20:11:25][10 hr 38 min]</t>
  </si>
  <si>
    <t>[IN 09:44:31-Out 18:40:49][8 hr 56 min][short]</t>
  </si>
  <si>
    <t>[IN 09:50:12-Out 18:41:38][8 hr 51 min][short]</t>
  </si>
  <si>
    <t>[IN 09:27:16-Out 18:53:27][9 hr 26 min]</t>
  </si>
  <si>
    <t>[IN 09:19:41-Out 18:30:15][9 hr 10 min]</t>
  </si>
  <si>
    <t>38</t>
  </si>
  <si>
    <t>Madhav Shinde</t>
  </si>
  <si>
    <t>[IN 10:08:45-Out 19:46:12][9 hr 37 min][late]</t>
  </si>
  <si>
    <t>[IN 10:47:06-Out 20:03:24][9 hr 16 min][late]</t>
  </si>
  <si>
    <t>[IN 09:53:42-Out 19:05:07][9 hr 11 min]</t>
  </si>
  <si>
    <t>[IN 10:27:11-Out 19:57:45][9 hr 30 min][late]</t>
  </si>
  <si>
    <t>[IN 10:28:53-Out 18:38:13][8 hr 9 min][late][short]</t>
  </si>
  <si>
    <t>[IN 10:09:41-Out 20:26:41][10 hr 17 min][late]</t>
  </si>
  <si>
    <t>[IN 10:26:38-Out 20:01:03][9 hr 34 min][late]</t>
  </si>
  <si>
    <t>[IN 10:52:59-Out 19:20:25][8 hr 27 min][late][short]</t>
  </si>
  <si>
    <t>[IN 10:24:23-Out 19:28:28][9 hr 4 min][late]</t>
  </si>
  <si>
    <t>[IN 10:17:11-Out 19:22:32][9 hr 5 min][late]</t>
  </si>
  <si>
    <t>[IN 09:57:57-Out 19:08:33][9 hr 10 min]</t>
  </si>
  <si>
    <t>[IN 09:52:59-Out 20:52:24][10 hr 59 min]</t>
  </si>
  <si>
    <t>[IN 10:09:15-Out 19:37:18][9 hr 28 min][late]</t>
  </si>
  <si>
    <t>[IN 10:05:39-Out 19:37:07][9 hr 31 min][late]</t>
  </si>
  <si>
    <t>[IN 09:57:17-Out 20:00:08][10 hr 2 min]</t>
  </si>
  <si>
    <t>[IN 10:17:03-Out 19:35:46][9 hr 18 min][late]</t>
  </si>
  <si>
    <t>[IN 11:12:56-Out 19:19:49][8 hr 6 min][late][short]</t>
  </si>
  <si>
    <t>[IN 10:38:55-Out 19:53:00][9 hr 14 min][late]</t>
  </si>
  <si>
    <t>[IN 10:19:05-Out 19:24:41][9 hr 5 min][late]</t>
  </si>
  <si>
    <t>231</t>
  </si>
  <si>
    <t>Mansi  Laddha</t>
  </si>
  <si>
    <t>[IN 10:08:25-Out 19:25:22][9 hr 16 min][late]</t>
  </si>
  <si>
    <t>[IN 09:52:18-Out 19:26:35][9 hr 34 min]</t>
  </si>
  <si>
    <t>[IN 10:05:12-Out 18:38:05][8 hr 32 min][late][short]</t>
  </si>
  <si>
    <t>[IN 10:09:04-Out 19:10:23][9 hr 1 min][late]</t>
  </si>
  <si>
    <t>[IN 10:38:05-Out 18:55:06][8 hr 17 min][late][short]</t>
  </si>
  <si>
    <t>[IN 09:58:34-Out 18:58:18][8 hr 59 min]</t>
  </si>
  <si>
    <t>[IN 10:13:10-Out 18:36:23][8 hr 23 min][late][short]</t>
  </si>
  <si>
    <t>[IN 09:55:02-Out 18:35:05][8 hr 40 min][short]</t>
  </si>
  <si>
    <t>[IN 09:45:06-Out 18:41:45][8 hr 56 min][short]</t>
  </si>
  <si>
    <t>[IN 10:20:17-Out 18:50:05][8 hr 29 min][late][short]</t>
  </si>
  <si>
    <t>[IN 10:03:25-Out 19:00:26][8 hr 57 min][late][short]</t>
  </si>
  <si>
    <t>[IN 09:47:05-Out 18:46:50][8 hr 59 min]</t>
  </si>
  <si>
    <t>[IN 10:07:29-Out 19:01:27][8 hr 53 min][late][short]</t>
  </si>
  <si>
    <t>[IN 10:34:06-Out 19:20:43][8 hr 46 min][late][short]</t>
  </si>
  <si>
    <t>[IN 10:01:42-Out 18:54:07][8 hr 52 min][late][short]</t>
  </si>
  <si>
    <t>[IN 09:47:59-Out 19:02:35][9 hr 14 min]</t>
  </si>
  <si>
    <t>[IN 18:47:38-Out 18:48:05][0 hr 0 min][late][short]</t>
  </si>
  <si>
    <t>[IN 10:14:20-Out 18:57:38][8 hr 43 min][late][short]</t>
  </si>
  <si>
    <t>[IN 09:49:12-Out 18:48:40][8 hr 59 min][short]</t>
  </si>
  <si>
    <t>[IN 09:56:49-Out 18:57:09][9 hr 0 min]</t>
  </si>
  <si>
    <t>237</t>
  </si>
  <si>
    <t>Naqya  Ali</t>
  </si>
  <si>
    <t>[IN 09:59:08-Out 20:30:54][10 hr 31 min]</t>
  </si>
  <si>
    <t>[IN 09:54:37-Out 20:16:44][10 hr 22 min]</t>
  </si>
  <si>
    <t>[IN 09:55:13-Out 19:10:58][9 hr 15 min]</t>
  </si>
  <si>
    <t>[IN 09:49:37-Out 19:09:45][9 hr 20 min]</t>
  </si>
  <si>
    <t>[IN 09:35:00-Out 19:08:01][9 hr 33 min]</t>
  </si>
  <si>
    <t>[IN 09:51:16-Out 19:48:42][9 hr 57 min]</t>
  </si>
  <si>
    <t>[IN 09:20:34-Out 19:10:13][9 hr 49 min]</t>
  </si>
  <si>
    <t>[IN 11:13:18-Out 21:17:34][10 hr 4 min][late]</t>
  </si>
  <si>
    <t>[IN 09:51:25-Out 21:28:22][11 hr 36 min]</t>
  </si>
  <si>
    <t>[IN 09:13:00-Out 20:33:20][11 hr 20 min]</t>
  </si>
  <si>
    <t>[IN 09:34:28-Out 21:40:16][12 hr 5 min]</t>
  </si>
  <si>
    <t>[IN 09:40:19-Out 20:28:10][10 hr 47 min]</t>
  </si>
  <si>
    <t>[IN 10:14:12-Out 19:38:18][9 hr 24 min][late]</t>
  </si>
  <si>
    <t>[IN 09:14:39-Out 20:26:16][11 hr 11 min]</t>
  </si>
  <si>
    <t>[IN 09:46:52-Out 19:19:11][9 hr 32 min]</t>
  </si>
  <si>
    <t>[IN 09:20:50-Out 20:34:40][11 hr 13 min]</t>
  </si>
  <si>
    <t>258</t>
  </si>
  <si>
    <t>Pavan Kawle</t>
  </si>
  <si>
    <t>[IN 09:43:54-Out 18:33:45][8 hr 49 min][short]</t>
  </si>
  <si>
    <t>[IN 09:31:43-Out 18:40:49][9 hr 9 min]</t>
  </si>
  <si>
    <t>[IN 09:19:04-Out 19:17:36][9 hr 58 min]</t>
  </si>
  <si>
    <t>[IN 10:04:12-Out 18:59:52][8 hr 55 min][late][short]</t>
  </si>
  <si>
    <t>[IN 09:41:43-Out 18:50:21][9 hr 8 min]</t>
  </si>
  <si>
    <t>[IN 09:25:27-Out 18:39:17][9 hr 13 min]</t>
  </si>
  <si>
    <t>[IN 09:47:12-Out 19:02:13][9 hr 15 min]</t>
  </si>
  <si>
    <t>[IN 15:23:03-Out 19:23:45][4 hr 0 min][late][short]</t>
  </si>
  <si>
    <t>[IN 09:34:48-Out 18:42:21][9 hr 7 min]</t>
  </si>
  <si>
    <t>[IN 09:54:28-Out 18:36:36][8 hr 42 min][short]</t>
  </si>
  <si>
    <t>[IN 09:48:13-Out 18:51:15][9 hr 3 min]</t>
  </si>
  <si>
    <t>[IN 09:23:43-Out 18:42:31][9 hr 18 min]</t>
  </si>
  <si>
    <t>232</t>
  </si>
  <si>
    <t>Pradnya  Kothavade</t>
  </si>
  <si>
    <t>[IN 10:37:49-Out 18:25:56][7 hr 48 min][late][short]</t>
  </si>
  <si>
    <t>[IN 09:54:43-Out 18:36:20][8 hr 41 min][short]</t>
  </si>
  <si>
    <t>[IN 09:43:50-Out 18:41:42][8 hr 57 min][short]</t>
  </si>
  <si>
    <t>[IN 10:21:29-Out 18:49:19][8 hr 27 min][late][short]</t>
  </si>
  <si>
    <t>[IN 09:59:27-Out 18:56:28][8 hr 57 min][short]</t>
  </si>
  <si>
    <t>[IN 09:46:20-Out 11:09:24][1 hr 23 min][short]</t>
  </si>
  <si>
    <t>233</t>
  </si>
  <si>
    <t>Priya Joshi</t>
  </si>
  <si>
    <t>[IN 09:30:04-Out 18:38:04][9 hr 8 min]</t>
  </si>
  <si>
    <t>[IN 09:30:02-Out 18:36:09][9 hr 6 min]</t>
  </si>
  <si>
    <t>[IN 09:30:15-Out 18:32:57][9 hr 2 min]</t>
  </si>
  <si>
    <t>[IN 09:30:06-Out 18:38:31][9 hr 8 min]</t>
  </si>
  <si>
    <t>[IN 09:30:12-Out 18:33:32][9 hr 3 min]</t>
  </si>
  <si>
    <t>[IN 09:31:45-Out 18:42:34][9 hr 10 min]</t>
  </si>
  <si>
    <t>[IN 09:30:32-Out 18:41:42][9 hr 11 min]</t>
  </si>
  <si>
    <t>[IN 09:30:04-Out 19:25:38][9 hr 55 min]</t>
  </si>
  <si>
    <t>[IN 09:30:09-Out 18:52:14][9 hr 22 min]</t>
  </si>
  <si>
    <t>[IN 09:30:12-Out 18:43:19][9 hr 13 min]</t>
  </si>
  <si>
    <t>[IN 09:30:23-Out 18:35:31][9 hr 5 min]</t>
  </si>
  <si>
    <t>[IN 09:30:06-Out 18:35:19][9 hr 5 min]</t>
  </si>
  <si>
    <t>[IN 09:30:05-Out 18:32:27][9 hr 2 min]</t>
  </si>
  <si>
    <t>[IN 09:30:04-Out 18:38:40][9 hr 8 min]</t>
  </si>
  <si>
    <t>[IN 09:34:04-Out 18:35:49][9 hr 1 min]</t>
  </si>
  <si>
    <t>[IN 09:30:06-Out 18:36:38][9 hr 6 min]</t>
  </si>
  <si>
    <t>[IN 09:30:06-Out 18:41:38][9 hr 11 min]</t>
  </si>
  <si>
    <t>[IN 09:30:05-Out 19:05:41][9 hr 35 min]</t>
  </si>
  <si>
    <t>[IN 09:30:03-Out 18:33:01][9 hr 2 min]</t>
  </si>
  <si>
    <t>[IN 09:30:05-Out 18:44:31][9 hr 14 min]</t>
  </si>
  <si>
    <t>[IN 09:30:08-Out 18:48:10][9 hr 18 min]</t>
  </si>
  <si>
    <t>[IN 09:30:05-Out 18:37:19][9 hr 7 min]</t>
  </si>
  <si>
    <t>[IN 09:30:11-Out 18:42:37][9 hr 12 min]</t>
  </si>
  <si>
    <t>247</t>
  </si>
  <si>
    <t>Ramesh Shinde</t>
  </si>
  <si>
    <t>[IN 09:18:19-Out 18:53:28][9 hr 35 min]</t>
  </si>
  <si>
    <t>[IN 09:18:31-Out 18:48:16][9 hr 29 min]</t>
  </si>
  <si>
    <t>[IN 09:11:11-Out 18:38:15][9 hr 27 min]</t>
  </si>
  <si>
    <t>[IN 09:22:05-Out 19:07:24][9 hr 45 min]</t>
  </si>
  <si>
    <t>[IN 09:33:28-Out 18:52:31][9 hr 19 min]</t>
  </si>
  <si>
    <t>[IN 09:38:53-Out 19:01:16][9 hr 22 min]</t>
  </si>
  <si>
    <t>[IN 09:25:14-Out 18:47:23][9 hr 22 min]</t>
  </si>
  <si>
    <t>[IN 09:03:24-Out 19:44:00][10 hr 40 min]</t>
  </si>
  <si>
    <t>[IN 09:10:55-Out 18:49:15][9 hr 38 min]</t>
  </si>
  <si>
    <t>[IN 09:08:21-Out 18:57:52][9 hr 49 min]</t>
  </si>
  <si>
    <t>[IN 09:14:12-Out 18:46:14][9 hr 32 min]</t>
  </si>
  <si>
    <t>[IN 09:12:49-Out 18:44:02][9 hr 31 min]</t>
  </si>
  <si>
    <t>[IN 09:08:19-Out 19:02:16][9 hr 53 min]</t>
  </si>
  <si>
    <t>[IN 09:06:34-Out 18:44:11][9 hr 37 min]</t>
  </si>
  <si>
    <t>[IN 09:56:20-Out 18:42:55][8 hr 46 min][short]</t>
  </si>
  <si>
    <t>[IN 09:09:56-Out 18:56:35][9 hr 46 min]</t>
  </si>
  <si>
    <t>[IN 09:01:18-Out 18:40:53][9 hr 39 min]</t>
  </si>
  <si>
    <t>[IN 09:07:06-Out 19:02:46][9 hr 55 min]</t>
  </si>
  <si>
    <t>[IN 10:09:44-Out 19:00:22][8 hr 50 min][late][short]</t>
  </si>
  <si>
    <t>[IN 09:01:01-Out 18:50:19][9 hr 49 min]</t>
  </si>
  <si>
    <t>[IN 09:00:59-Out 18:51:28][9 hr 50 min]</t>
  </si>
  <si>
    <t>[IN 08:53:43-Out 18:46:31][9 hr 52 min]</t>
  </si>
  <si>
    <t>[IN 08:54:59-Out 18:42:42][9 hr 47 min]</t>
  </si>
  <si>
    <t>244</t>
  </si>
  <si>
    <t>Rohan Udas</t>
  </si>
  <si>
    <t>[IN 09:42:30-Out 19:29:23][9 hr 46 min]</t>
  </si>
  <si>
    <t>[IN 09:51:14-Out 10:25:33][0 hr 34 min][short]</t>
  </si>
  <si>
    <t>[IN 09:50:19-Out 19:38:31][9 hr 48 min]</t>
  </si>
  <si>
    <t>[IN 09:48:27-Out 19:58:12][10 hr 9 min]</t>
  </si>
  <si>
    <t>[IN 09:45:54-Out 19:55:48][10 hr 9 min]</t>
  </si>
  <si>
    <t>[IN 09:44:05-Out 19:54:33][10 hr 10 min]</t>
  </si>
  <si>
    <t>[IN 09:33:54-Out 19:56:10][10 hr 22 min]</t>
  </si>
  <si>
    <t>[IN 09:36:31-Out 19:39:29][10 hr 2 min]</t>
  </si>
  <si>
    <t>[IN 09:40:32-Out 20:04:05][10 hr 23 min]</t>
  </si>
  <si>
    <t>[IN 09:40:27-Out 20:05:47][10 hr 25 min]</t>
  </si>
  <si>
    <t>[IN 09:34:29-Out 19:12:54][9 hr 38 min]</t>
  </si>
  <si>
    <t>[IN 09:41:39-Out 18:51:24][9 hr 9 min]</t>
  </si>
  <si>
    <t>[IN 09:47:02-Out 19:13:37][9 hr 26 min]</t>
  </si>
  <si>
    <t>[IN 09:50:02-Out 19:27:36][9 hr 37 min]</t>
  </si>
  <si>
    <t>[IN 09:31:21-Out 19:02:41][9 hr 31 min]</t>
  </si>
  <si>
    <t>[IN 09:40:10-Out 19:19:26][9 hr 39 min]</t>
  </si>
  <si>
    <t>[IN 09:58:12-Out 19:06:26][9 hr 8 min]</t>
  </si>
  <si>
    <t>251</t>
  </si>
  <si>
    <t>Sachin Dalvi</t>
  </si>
  <si>
    <t>263</t>
  </si>
  <si>
    <t>Sameer Lokhande</t>
  </si>
  <si>
    <t>[IN 09:44:50-Out 19:16:35][9 hr 31 min]</t>
  </si>
  <si>
    <t>[IN 09:57:58-Out 19:06:40][9 hr 8 min]</t>
  </si>
  <si>
    <t>[IN 09:39:14-Out 18:42:45][9 hr 3 min]</t>
  </si>
  <si>
    <t>[IN 10:02:02-Out 19:38:58][9 hr 36 min][late]</t>
  </si>
  <si>
    <t>[IN 09:51:33-Out 19:51:10][9 hr 59 min]</t>
  </si>
  <si>
    <t>[IN 09:58:53-Out 19:10:20][9 hr 11 min]</t>
  </si>
  <si>
    <t>[IN 09:50:56-Out 18:55:59][9 hr 5 min]</t>
  </si>
  <si>
    <t>[IN 09:44:42-Out 18:53:55][9 hr 9 min]</t>
  </si>
  <si>
    <t>[IN 10:00:05-Out 19:05:13][9 hr 5 min][late]</t>
  </si>
  <si>
    <t>[IN 09:57:29-Out 20:00:15][10 hr 2 min]</t>
  </si>
  <si>
    <t>[IN 10:02:37-Out 19:30:31][9 hr 27 min][late]</t>
  </si>
  <si>
    <t>[IN 09:55:25-Out 19:41:09][9 hr 45 min]</t>
  </si>
  <si>
    <t>[IN 09:51:59-Out 19:28:31][9 hr 36 min]</t>
  </si>
  <si>
    <t>[IN 09:55:17-Out 19:23:57][9 hr 28 min]</t>
  </si>
  <si>
    <t>[IN 09:56:23-Out 19:46:47][9 hr 50 min]</t>
  </si>
  <si>
    <t>[IN 10:09:14-Out 20:00:30-Out 20:00:59][9 hr 51 min][late]</t>
  </si>
  <si>
    <t>[IN 10:17:08-Out 19:21:24][9 hr 4 min][late]</t>
  </si>
  <si>
    <t>[IN 09:54:17-Out 19:15:08][9 hr 20 min]</t>
  </si>
  <si>
    <t>[IN 09:49:51-Out 19:59:45][10 hr 9 min]</t>
  </si>
  <si>
    <t>[IN 10:04:50-Out 19:07:08][9 hr 2 min][late]</t>
  </si>
  <si>
    <t>[IN 09:59:34-Out 19:21:44][9 hr 22 min]</t>
  </si>
  <si>
    <t>[IN 10:09:06-Out 19:22:48][9 hr 13 min][late]</t>
  </si>
  <si>
    <t>[IN 09:55:44-Out 19:29:56][9 hr 34 min]</t>
  </si>
  <si>
    <t>[IN 09:58:47-Out 19:26:04][9 hr 27 min]</t>
  </si>
  <si>
    <t>273</t>
  </si>
  <si>
    <t>Samina Jesawada</t>
  </si>
  <si>
    <t>[IN 09:33:49-Out 19:21:35][9 hr 47 min]</t>
  </si>
  <si>
    <t>[IN 09:46:47-Out 18:47:04][9 hr 0 min]</t>
  </si>
  <si>
    <t>[IN 09:34:53-Out 18:50:28][9 hr 15 min]</t>
  </si>
  <si>
    <t>[IN 10:03:27-Out 18:53:25][8 hr 49 min][late][short]</t>
  </si>
  <si>
    <t>[IN 09:53:20-Out 20:00:40][10 hr 7 min]</t>
  </si>
  <si>
    <t>[IN 10:08:37-Out 19:39:36][9 hr 30 min][late]</t>
  </si>
  <si>
    <t>[IN 09:53:43-Out 19:48:41][9 hr 54 min]</t>
  </si>
  <si>
    <t>[IN 09:41:52-Out 13:58:40][4 hr 16 min][short]</t>
  </si>
  <si>
    <t>145</t>
  </si>
  <si>
    <t>Samina Ahmad</t>
  </si>
  <si>
    <t>[IN 09:35:35-Out 19:06:49][9 hr 31 min]</t>
  </si>
  <si>
    <t>[IN 09:27:48-Out 18:50:36][9 hr 22 min]</t>
  </si>
  <si>
    <t>[IN 09:25:42-Out 18:39:52][9 hr 14 min]</t>
  </si>
  <si>
    <t>[IN 09:33:47-Out 18:54:26][9 hr 20 min]</t>
  </si>
  <si>
    <t>[IN 09:31:50-Out 18:55:36][9 hr 23 min]</t>
  </si>
  <si>
    <t>[IN 09:32:12-Out 19:04:05][9 hr 31 min]</t>
  </si>
  <si>
    <t>[IN 09:28:55-Out 18:57:17][9 hr 28 min]</t>
  </si>
  <si>
    <t>[IN 09:33:47-Out 19:07:00][9 hr 33 min]</t>
  </si>
  <si>
    <t>[IN 13:07:27-Out 20:11:52][7 hr 4 min][late][short]</t>
  </si>
  <si>
    <t>[IN 09:40:27-Out 18:55:07][9 hr 14 min]</t>
  </si>
  <si>
    <t>[IN 09:37:26-Out 18:58:14][9 hr 20 min]</t>
  </si>
  <si>
    <t>[IN 07:54:51-Out 17:24:42][9 hr 29 min]</t>
  </si>
  <si>
    <t>[IN 09:48:37-Out 19:02:56][9 hr 14 min]</t>
  </si>
  <si>
    <t>[IN 09:40:21-Out 18:47:53][9 hr 7 min]</t>
  </si>
  <si>
    <t>[IN 09:37:31-Out 18:59:05][9 hr 21 min]</t>
  </si>
  <si>
    <t>[IN 09:22:46-Out 18:47:51][9 hr 25 min]</t>
  </si>
  <si>
    <t>[IN 09:27:35-Out 18:55:12][9 hr 27 min]</t>
  </si>
  <si>
    <t>[IN 09:24:50-Out 18:44:14][9 hr 19 min]</t>
  </si>
  <si>
    <t>[IN 09:34:08-Out 18:56:04][9 hr 21 min]</t>
  </si>
  <si>
    <t>[IN 09:25:19-Out 18:45:17][9 hr 19 min]</t>
  </si>
  <si>
    <t>[IN 09:34:34-Out 19:01:35][9 hr 27 min]</t>
  </si>
  <si>
    <t>270</t>
  </si>
  <si>
    <t>Sayali Mahajan</t>
  </si>
  <si>
    <t>[IN 13:25:49-Out 19:10:15][5 hr 44 min][late][short]</t>
  </si>
  <si>
    <t>[IN 09:37:31-Out 19:02:34][9 hr 25 min]</t>
  </si>
  <si>
    <t>[IN 09:29:26-Out 18:54:57][9 hr 25 min]</t>
  </si>
  <si>
    <t>[IN 09:32:48-Out 19:00:25][9 hr 27 min]</t>
  </si>
  <si>
    <t>[IN 09:31:49-Out 18:52:38][9 hr 20 min]</t>
  </si>
  <si>
    <t>[IN 09:40:43-Out 19:05:22][9 hr 24 min]</t>
  </si>
  <si>
    <t>[IN 09:53:46-Out 19:23:47][9 hr 30 min]</t>
  </si>
  <si>
    <t>[IN 09:43:12-Out 19:12:59][9 hr 29 min]</t>
  </si>
  <si>
    <t>[IN 09:39:48-Out 19:06:36][9 hr 26 min]</t>
  </si>
  <si>
    <t>[IN 09:30:16-Out 18:45:11][9 hr 14 min]</t>
  </si>
  <si>
    <t>[IN 09:33:47-Out 18:46:00][9 hr 12 min]</t>
  </si>
  <si>
    <t>[IN 09:35:47-Out 18:53:11][9 hr 17 min]</t>
  </si>
  <si>
    <t>[IN 09:45:45-Out 19:06:46][9 hr 21 min]</t>
  </si>
  <si>
    <t>[IN 09:30:56-Out 18:36:05][9 hr 5 min]</t>
  </si>
  <si>
    <t>[IN 09:34:47-Out 19:00:17][9 hr 25 min]</t>
  </si>
  <si>
    <t>[IN 09:43:42-Out 18:44:06][9 hr 0 min]</t>
  </si>
  <si>
    <t>[IN 09:57:31-Out 19:16:37][9 hr 19 min]</t>
  </si>
  <si>
    <t>[IN 09:58:59-Out 19:20:44][9 hr 21 min]</t>
  </si>
  <si>
    <t>[IN 09:52:04-Out 19:23:53][9 hr 31 min]</t>
  </si>
  <si>
    <t>265</t>
  </si>
  <si>
    <t>Shreya Zade</t>
  </si>
  <si>
    <t>[IN 09:47:18-Out 19:15:25][9 hr 28 min]</t>
  </si>
  <si>
    <t>[IN 09:59:55-Out 19:06:30][9 hr 6 min]</t>
  </si>
  <si>
    <t>[IN 10:07:08-Out 19:38:54][9 hr 31 min][late]</t>
  </si>
  <si>
    <t>[IN 09:53:52-Out 19:49:34][9 hr 55 min]</t>
  </si>
  <si>
    <t>[IN 10:01:16-Out 19:10:26][9 hr 9 min][late]</t>
  </si>
  <si>
    <t>[IN 09:52:49-Out 18:53:40][9 hr 0 min]</t>
  </si>
  <si>
    <t>[IN 09:45:45-Out 18:53:52][9 hr 8 min]</t>
  </si>
  <si>
    <t>[IN 10:00:24-Out 19:05:05][9 hr 4 min][late]</t>
  </si>
  <si>
    <t>[IN 10:06:54-Out 19:55:41][9 hr 48 min][late]</t>
  </si>
  <si>
    <t>[IN 09:57:23-Out 20:16:26][10 hr 19 min]</t>
  </si>
  <si>
    <t>[IN 09:53:02-Out 19:25:46][9 hr 32 min]</t>
  </si>
  <si>
    <t>[IN 09:57:03-Out 19:23:53][9 hr 26 min]</t>
  </si>
  <si>
    <t>[IN 10:28:09-Out 19:46:50][9 hr 18 min][late]</t>
  </si>
  <si>
    <t>[IN 10:09:56-Out 20:21:13][10 hr 11 min][late]</t>
  </si>
  <si>
    <t>[IN 10:17:33-Out 19:24:32][9 hr 6 min][late]</t>
  </si>
  <si>
    <t>[IN 09:55:56-Out 19:15:35][9 hr 19 min]</t>
  </si>
  <si>
    <t>[IN 09:50:15-Out 19:59:51][10 hr 9 min]</t>
  </si>
  <si>
    <t>[IN 10:00:37-Out 19:24:20][9 hr 23 min][late]</t>
  </si>
  <si>
    <t>[IN 10:11:05-Out 19:22:13][9 hr 11 min][late]</t>
  </si>
  <si>
    <t>[IN 09:56:26-Out 19:29:51][9 hr 33 min]</t>
  </si>
  <si>
    <t>[IN 09:58:57-Out 19:29:40][9 hr 30 min]</t>
  </si>
  <si>
    <t>214</t>
  </si>
  <si>
    <t>Siddharth  Jaiswal</t>
  </si>
  <si>
    <t>[IN 18:22:00-Out 19:36:10][1 hr 14 min][late][short]</t>
  </si>
  <si>
    <t>[IN 10:21:49-Out 19:58:30][9 hr 36 min][late]</t>
  </si>
  <si>
    <t>[IN 10:04:09-Out 23:25:41][13 hr 21 min][late]</t>
  </si>
  <si>
    <t>[IN 10:08:13-Out 19:32:52][9 hr 24 min][late]</t>
  </si>
  <si>
    <t>[IN 10:21:27-Out 22:43:10][12 hr 21 min][late]</t>
  </si>
  <si>
    <t>[IN 10:23:03-Out 19:37:38][9 hr 14 min][late]</t>
  </si>
  <si>
    <t>[IN 10:11:10-Out 19:15:24][9 hr 4 min][late]</t>
  </si>
  <si>
    <t>[IN 10:00:56-Out 19:28:31][9 hr 27 min][late]</t>
  </si>
  <si>
    <t>[IN 10:09:52-Out 19:38:53][9 hr 29 min][late]</t>
  </si>
  <si>
    <t>[IN 10:21:33-Out 19:29:43][9 hr 8 min][late]</t>
  </si>
  <si>
    <t>[IN 10:23:10-Out 19:37:57][9 hr 14 min][late]</t>
  </si>
  <si>
    <t>[IN 09:43:23-Out 19:40:02][9 hr 56 min]</t>
  </si>
  <si>
    <t>[IN 10:18:52-Out 19:21:00][9 hr 2 min][late]</t>
  </si>
  <si>
    <t>[IN 10:12:56-Out 19:30:43][9 hr 17 min][late]</t>
  </si>
  <si>
    <t>[IN 10:22:11-Out 18:46:06][8 hr 23 min][late][short]</t>
  </si>
  <si>
    <t>[IN 10:00:06-Out 19:18:01][9 hr 17 min][late]</t>
  </si>
  <si>
    <t>[IN 10:40:53-Out 19:10:29][8 hr 29 min][late][short]</t>
  </si>
  <si>
    <t>[IN 10:06:01-Out 19:21:11][9 hr 15 min][late]</t>
  </si>
  <si>
    <t>[IN 10:00:42-Out 19:45:27][9 hr 44 min][late]</t>
  </si>
  <si>
    <t>[IN 10:08:11-Out 19:48:59][9 hr 40 min][late]</t>
  </si>
  <si>
    <t>[IN 10:05:45-Out 19:34:16][9 hr 28 min][late]</t>
  </si>
  <si>
    <t>269</t>
  </si>
  <si>
    <t>Siddheshwar Mule</t>
  </si>
  <si>
    <t>[IN 12:35:45-Out 18:52:54][6 hr 17 min][late][short]</t>
  </si>
  <si>
    <t>[IN 10:15:40-Out 19:24:19][9 hr 8 min][late]</t>
  </si>
  <si>
    <t>[IN 09:57:28-Out 19:22:52][9 hr 25 min]</t>
  </si>
  <si>
    <t>[IN 09:52:38-Out 18:54:35][9 hr 1 min]</t>
  </si>
  <si>
    <t>[IN 09:57:23-Out 19:18:42][9 hr 21 min]</t>
  </si>
  <si>
    <t>[IN 09:49:28-Out 20:01:18][10 hr 11 min]</t>
  </si>
  <si>
    <t>[IN 09:56:37-Out 19:22:34][9 hr 25 min]</t>
  </si>
  <si>
    <t>[IN 09:49:37-Out 13:36:07][3 hr 46 min][short]</t>
  </si>
  <si>
    <t>[IN 09:43:30-Out 19:44:57][10 hr 1 min]</t>
  </si>
  <si>
    <t>[IN 09:57:37-Out 18:54:00][8 hr 56 min][short]</t>
  </si>
  <si>
    <t>271</t>
  </si>
  <si>
    <t>Syed Ansar Syed Nazeer</t>
  </si>
  <si>
    <t>[IN 13:25:46-Out 19:10:10][5 hr 44 min][late][short]</t>
  </si>
  <si>
    <t>[IN 09:52:15-Out 18:58:13][9 hr 5 min]</t>
  </si>
  <si>
    <t>[IN 09:43:34-Out 18:56:37][9 hr 13 min]</t>
  </si>
  <si>
    <t>[IN 10:21:41-Out 19:22:23][9 hr 0 min][late]</t>
  </si>
  <si>
    <t>[IN 09:22:27-Out 18:42:47][9 hr 20 min]</t>
  </si>
  <si>
    <t>[IN 10:02:43-Out 19:03:03][9 hr 0 min][late]</t>
  </si>
  <si>
    <t>[IN 09:40:28-Out 18:42:34][9 hr 2 min]</t>
  </si>
  <si>
    <t>[IN 10:01:54-Out 19:05:36][9 hr 3 min][late]</t>
  </si>
  <si>
    <t>[IN 09:18:02-Out 19:01:48][9 hr 43 min]</t>
  </si>
  <si>
    <t>[IN 09:07:34-Out 18:32:25][9 hr 24 min]</t>
  </si>
  <si>
    <t>[IN 09:30:36-Out 18:33:23][9 hr 2 min]</t>
  </si>
  <si>
    <t>[IN 09:50:20-Out 18:51:06][9 hr 0 min]</t>
  </si>
  <si>
    <t>[IN 09:55:48-Out 18:57:09][9 hr 1 min]</t>
  </si>
  <si>
    <t>[IN 10:03:13-Out 19:05:31][9 hr 2 min][late]</t>
  </si>
  <si>
    <t>[IN 09:35:30-Out 18:50:13][9 hr 14 min]</t>
  </si>
  <si>
    <t>[IN 09:53:12-Out 18:58:49][9 hr 5 min]</t>
  </si>
  <si>
    <t>[IN 10:18:41-Out 19:19:28][9 hr 0 min][late]</t>
  </si>
  <si>
    <t>[IN 10:20:43-Out 18:40:52][8 hr 20 min][late][short]</t>
  </si>
  <si>
    <t>[IN 09:50:00-Out 18:51:07][9 hr 1 min]</t>
  </si>
  <si>
    <t>259</t>
  </si>
  <si>
    <t>Vaibhav Deshmukh</t>
  </si>
  <si>
    <t>[IN 09:34:51-Out 19:15:57][9 hr 41 min]</t>
  </si>
  <si>
    <t>[IN 09:46:28-Out 18:50:27][9 hr 3 min]</t>
  </si>
  <si>
    <t>[IN 09:43:10-Out 19:46:22][10 hr 3 min]</t>
  </si>
  <si>
    <t>[IN 09:36:00-Out 19:08:20][9 hr 32 min]</t>
  </si>
  <si>
    <t>[IN 09:42:37-Out 19:57:08][10 hr 14 min]</t>
  </si>
  <si>
    <t>[IN 09:41:24-Out 19:10:42][9 hr 29 min]</t>
  </si>
  <si>
    <t>[IN 09:45:59-Out 19:42:17][9 hr 56 min]</t>
  </si>
  <si>
    <t>[IN 09:39:25-Out 18:56:55][9 hr 17 min]</t>
  </si>
  <si>
    <t>[IN 09:41:04-Out 19:03:46][9 hr 22 min]</t>
  </si>
  <si>
    <t>[IN 09:31:04-Out 19:17:02][9 hr 45 min]</t>
  </si>
  <si>
    <t>[IN 09:30:17-Out 19:27:58][9 hr 57 min]</t>
  </si>
  <si>
    <t>[IN 09:26:11-Out 19:38:18][10 hr 12 min]</t>
  </si>
  <si>
    <t>[IN 09:34:37-Out 19:04:45][9 hr 30 min]</t>
  </si>
  <si>
    <t>[IN 09:22:34-Out 19:28:47][10 hr 6 min]</t>
  </si>
  <si>
    <t>[IN 09:47:48-Out 19:40:18][9 hr 52 min]</t>
  </si>
  <si>
    <t>[IN 09:51:51-Out 19:38:09][9 hr 46 min]</t>
  </si>
  <si>
    <t>[IN 09:37:33-Out 19:06:30][9 hr 28 min]</t>
  </si>
  <si>
    <t>[IN 09:41:58-Out 19:27:12][9 hr 45 min]</t>
  </si>
  <si>
    <t>[IN 09:23:55-Out 19:15:24][9 hr 51 min]</t>
  </si>
  <si>
    <t>[IN 09:45:30-Out 18:47:15][9 hr 1 min]</t>
  </si>
  <si>
    <t>[IN 10:05:49-Out 19:08:07][9 hr 2 min][late]</t>
  </si>
  <si>
    <t>[IN 09:52:03-Out 18:44:19][8 hr 52 min][short]</t>
  </si>
  <si>
    <t>[IN 09:39:58-Out 19:29:51][9 hr 49 min]</t>
  </si>
  <si>
    <t xml:space="preserve">Total Late </t>
  </si>
  <si>
    <t>Short Retention</t>
  </si>
  <si>
    <t>Absent</t>
  </si>
  <si>
    <t xml:space="preserve">Total Working day </t>
  </si>
  <si>
    <t xml:space="preserve">Attendance Sheet June-2023 </t>
  </si>
  <si>
    <t>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</si>
</sst>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name val="Arial"/>
      <family val="2"/>
      <charset val="1"/>
    </font>
    <font>
      <b/>
      <sz val="13"/>
      <color rgb="FFFFFFFF"/>
      <name val="Calibri"/>
      <family val="2"/>
      <charset val="1"/>
    </font>
    <font>
      <sz val="12"/>
      <color rgb="FF000000"/>
      <name val="Calibri"/>
      <family val="2"/>
      <charset val="1"/>
    </font>
    <font>
      <sz val="12"/>
      <color theme="0"/>
      <name val="Calibri"/>
      <family val="2"/>
      <charset val="1"/>
    </font>
    <font>
      <b/>
      <sz val="12"/>
      <name val="Arial"/>
      <family val="2"/>
    </font>
    <font>
      <b/>
      <sz val="16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C6591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rgb="FFFFFFFF"/>
      </left>
      <right style="hair">
        <color rgb="FFFFFFFF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49" fontId="2" fillId="3" borderId="1" xfId="0" applyNumberFormat="1" applyFont="1" applyFill="1" applyBorder="1"/>
    <xf numFmtId="0" fontId="0" fillId="0" borderId="1" xfId="0" applyBorder="1"/>
    <xf numFmtId="0" fontId="0" fillId="0" borderId="0" xfId="0"/>
    <xf numFmtId="49" fontId="3" fillId="4" borderId="1" xfId="0" applyNumberFormat="1" applyFont="1" applyFill="1" applyBorder="1" applyAlignment="1">
      <alignment horizontal="center" vertical="center"/>
    </xf>
    <xf numFmtId="0" fontId="1" fillId="2" borderId="2" xfId="0" applyFont="1" applyFill="1" applyBorder="1"/>
    <xf numFmtId="0" fontId="4" fillId="0" borderId="0" xfId="0" applyFont="1"/>
    <xf numFmtId="0" fontId="5" fillId="0" borderId="0" xfId="0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42"/>
  <sheetViews>
    <sheetView tabSelected="1" zoomScaleNormal="100" workbookViewId="0">
      <pane xSplit="2" ySplit="3" topLeftCell="AG26" activePane="bottomRight" state="frozen"/>
      <selection pane="topRight" activeCell="C1" sqref="C1"/>
      <selection pane="bottomLeft" activeCell="A4" sqref="A4"/>
      <selection pane="bottomRight" activeCell="AI24" sqref="AI24"/>
    </sheetView>
  </sheetViews>
  <sheetFormatPr defaultRowHeight="14.4" x14ac:dyDescent="0.25"/>
  <cols>
    <col min="1" max="1" width="10" customWidth="1"/>
    <col min="2" max="2" width="40" customWidth="1"/>
    <col min="3" max="5" width="49.109375" bestFit="1" customWidth="1"/>
    <col min="6" max="6" width="10" customWidth="1"/>
    <col min="7" max="7" width="49.109375" bestFit="1" customWidth="1"/>
    <col min="8" max="8" width="60.44140625" bestFit="1" customWidth="1"/>
    <col min="9" max="9" width="63" bestFit="1" customWidth="1"/>
    <col min="10" max="11" width="49.109375" bestFit="1" customWidth="1"/>
    <col min="12" max="12" width="7.21875" bestFit="1" customWidth="1"/>
    <col min="13" max="13" width="7.77734375" bestFit="1" customWidth="1"/>
    <col min="14" max="19" width="49.109375" bestFit="1" customWidth="1"/>
    <col min="20" max="20" width="7.77734375" bestFit="1" customWidth="1"/>
    <col min="21" max="21" width="49.109375" bestFit="1" customWidth="1"/>
    <col min="22" max="22" width="55.5546875" bestFit="1" customWidth="1"/>
    <col min="23" max="25" width="49.109375" bestFit="1" customWidth="1"/>
    <col min="26" max="26" width="7.21875" bestFit="1" customWidth="1"/>
    <col min="27" max="27" width="7.77734375" bestFit="1" customWidth="1"/>
    <col min="28" max="32" width="49.109375" bestFit="1" customWidth="1"/>
    <col min="33" max="1024" width="11.44140625"/>
  </cols>
  <sheetData>
    <row r="1" spans="1:35" s="4" customFormat="1" ht="21" x14ac:dyDescent="0.25">
      <c r="C1" s="8" t="s">
        <v>730</v>
      </c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</row>
    <row r="2" spans="1:35" s="4" customFormat="1" ht="15.6" x14ac:dyDescent="0.3">
      <c r="B2" s="7" t="s">
        <v>729</v>
      </c>
      <c r="C2" s="7">
        <v>24</v>
      </c>
    </row>
    <row r="3" spans="1:35" ht="17.399999999999999" x14ac:dyDescent="0.3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6" t="s">
        <v>726</v>
      </c>
      <c r="AH3" s="6" t="s">
        <v>727</v>
      </c>
      <c r="AI3" s="6" t="s">
        <v>728</v>
      </c>
    </row>
    <row r="4" spans="1:35" ht="25.05" customHeight="1" x14ac:dyDescent="0.3">
      <c r="A4" s="2" t="s">
        <v>32</v>
      </c>
      <c r="B4" s="2" t="s">
        <v>33</v>
      </c>
      <c r="C4" s="2" t="s">
        <v>34</v>
      </c>
      <c r="D4" s="2" t="s">
        <v>35</v>
      </c>
      <c r="E4" s="2" t="s">
        <v>36</v>
      </c>
      <c r="F4" s="2" t="s">
        <v>37</v>
      </c>
      <c r="G4" s="2" t="s">
        <v>38</v>
      </c>
      <c r="H4" s="2" t="s">
        <v>39</v>
      </c>
      <c r="I4" s="2" t="s">
        <v>40</v>
      </c>
      <c r="J4" s="2" t="s">
        <v>41</v>
      </c>
      <c r="K4" s="2" t="s">
        <v>42</v>
      </c>
      <c r="L4" s="2" t="s">
        <v>37</v>
      </c>
      <c r="M4" s="2" t="s">
        <v>37</v>
      </c>
      <c r="N4" s="2" t="s">
        <v>43</v>
      </c>
      <c r="O4" s="2" t="s">
        <v>44</v>
      </c>
      <c r="P4" s="2" t="s">
        <v>45</v>
      </c>
      <c r="Q4" s="2" t="s">
        <v>46</v>
      </c>
      <c r="R4" s="2" t="s">
        <v>47</v>
      </c>
      <c r="S4" s="2" t="s">
        <v>48</v>
      </c>
      <c r="T4" s="2" t="s">
        <v>37</v>
      </c>
      <c r="U4" s="2" t="s">
        <v>49</v>
      </c>
      <c r="V4" s="2" t="s">
        <v>50</v>
      </c>
      <c r="W4" s="2" t="s">
        <v>51</v>
      </c>
      <c r="X4" s="2" t="s">
        <v>52</v>
      </c>
      <c r="Y4" s="2" t="s">
        <v>53</v>
      </c>
      <c r="Z4" s="2" t="s">
        <v>37</v>
      </c>
      <c r="AA4" s="2" t="s">
        <v>37</v>
      </c>
      <c r="AB4" s="5" t="s">
        <v>731</v>
      </c>
      <c r="AC4" s="2" t="s">
        <v>54</v>
      </c>
      <c r="AD4" s="2" t="s">
        <v>55</v>
      </c>
      <c r="AE4" s="2" t="s">
        <v>56</v>
      </c>
      <c r="AF4" s="2" t="s">
        <v>57</v>
      </c>
      <c r="AG4" s="3">
        <f>COUNTIF(C4:AF4,"*[late]*")</f>
        <v>0</v>
      </c>
      <c r="AH4" s="3">
        <f>COUNTIF(C4:AF4,"*short*")</f>
        <v>9</v>
      </c>
      <c r="AI4" s="3">
        <f>COUNTIF(C4:AF4,"AB")</f>
        <v>1</v>
      </c>
    </row>
    <row r="5" spans="1:35" ht="25.05" customHeight="1" x14ac:dyDescent="0.3">
      <c r="A5" s="2" t="s">
        <v>58</v>
      </c>
      <c r="B5" s="2" t="s">
        <v>59</v>
      </c>
      <c r="C5" s="2" t="s">
        <v>60</v>
      </c>
      <c r="D5" s="2" t="s">
        <v>61</v>
      </c>
      <c r="E5" s="2" t="s">
        <v>62</v>
      </c>
      <c r="F5" s="2" t="s">
        <v>37</v>
      </c>
      <c r="G5" s="2" t="s">
        <v>63</v>
      </c>
      <c r="H5" s="2" t="s">
        <v>64</v>
      </c>
      <c r="I5" s="2" t="s">
        <v>65</v>
      </c>
      <c r="J5" s="2" t="s">
        <v>66</v>
      </c>
      <c r="K5" s="2" t="s">
        <v>67</v>
      </c>
      <c r="L5" s="2" t="s">
        <v>37</v>
      </c>
      <c r="M5" s="2" t="s">
        <v>37</v>
      </c>
      <c r="N5" s="2" t="s">
        <v>68</v>
      </c>
      <c r="O5" s="5" t="s">
        <v>731</v>
      </c>
      <c r="P5" s="5" t="s">
        <v>731</v>
      </c>
      <c r="Q5" s="5" t="s">
        <v>731</v>
      </c>
      <c r="R5" s="5" t="s">
        <v>731</v>
      </c>
      <c r="S5" s="5" t="s">
        <v>731</v>
      </c>
      <c r="T5" s="2" t="s">
        <v>37</v>
      </c>
      <c r="U5" s="5" t="s">
        <v>731</v>
      </c>
      <c r="V5" s="5" t="s">
        <v>731</v>
      </c>
      <c r="W5" s="5" t="s">
        <v>731</v>
      </c>
      <c r="X5" s="5" t="s">
        <v>731</v>
      </c>
      <c r="Y5" s="5" t="s">
        <v>731</v>
      </c>
      <c r="Z5" s="2" t="s">
        <v>37</v>
      </c>
      <c r="AA5" s="2" t="s">
        <v>37</v>
      </c>
      <c r="AB5" s="5" t="s">
        <v>731</v>
      </c>
      <c r="AC5" s="5" t="s">
        <v>731</v>
      </c>
      <c r="AD5" s="5" t="s">
        <v>731</v>
      </c>
      <c r="AE5" s="5" t="s">
        <v>731</v>
      </c>
      <c r="AF5" s="5" t="s">
        <v>731</v>
      </c>
      <c r="AG5" s="3">
        <f t="shared" ref="AG5:AG41" si="0">COUNTIF(C5:AF5,"*[late]*")</f>
        <v>0</v>
      </c>
      <c r="AH5" s="3">
        <f t="shared" ref="AH5:AH41" si="1">COUNTIF(C5:AF5,"*short*")</f>
        <v>1</v>
      </c>
      <c r="AI5" s="3">
        <f t="shared" ref="AI5:AI41" si="2">COUNTIF(C5:AF5,"AB")</f>
        <v>15</v>
      </c>
    </row>
    <row r="6" spans="1:35" ht="25.05" customHeight="1" x14ac:dyDescent="0.3">
      <c r="A6" s="2" t="s">
        <v>69</v>
      </c>
      <c r="B6" s="2" t="s">
        <v>70</v>
      </c>
      <c r="C6" s="5" t="s">
        <v>731</v>
      </c>
      <c r="D6" s="5" t="s">
        <v>731</v>
      </c>
      <c r="E6" s="5" t="s">
        <v>731</v>
      </c>
      <c r="F6" s="2" t="s">
        <v>37</v>
      </c>
      <c r="G6" s="5" t="s">
        <v>731</v>
      </c>
      <c r="H6" s="5" t="s">
        <v>731</v>
      </c>
      <c r="I6" s="5" t="s">
        <v>731</v>
      </c>
      <c r="J6" s="5" t="s">
        <v>731</v>
      </c>
      <c r="K6" s="5" t="s">
        <v>731</v>
      </c>
      <c r="L6" s="2" t="s">
        <v>37</v>
      </c>
      <c r="M6" s="2" t="s">
        <v>37</v>
      </c>
      <c r="N6" s="5" t="s">
        <v>731</v>
      </c>
      <c r="O6" s="5" t="s">
        <v>731</v>
      </c>
      <c r="P6" s="5" t="s">
        <v>731</v>
      </c>
      <c r="Q6" s="5" t="s">
        <v>731</v>
      </c>
      <c r="R6" s="5" t="s">
        <v>731</v>
      </c>
      <c r="S6" s="5" t="s">
        <v>731</v>
      </c>
      <c r="T6" s="2" t="s">
        <v>37</v>
      </c>
      <c r="U6" s="5" t="s">
        <v>731</v>
      </c>
      <c r="V6" s="5" t="s">
        <v>731</v>
      </c>
      <c r="W6" s="5" t="s">
        <v>731</v>
      </c>
      <c r="X6" s="5" t="s">
        <v>731</v>
      </c>
      <c r="Y6" s="5" t="s">
        <v>731</v>
      </c>
      <c r="Z6" s="2" t="s">
        <v>37</v>
      </c>
      <c r="AA6" s="2" t="s">
        <v>37</v>
      </c>
      <c r="AB6" s="5" t="s">
        <v>731</v>
      </c>
      <c r="AC6" s="5" t="s">
        <v>731</v>
      </c>
      <c r="AD6" s="5" t="s">
        <v>731</v>
      </c>
      <c r="AE6" s="2" t="s">
        <v>71</v>
      </c>
      <c r="AF6" s="2" t="s">
        <v>72</v>
      </c>
      <c r="AG6" s="3">
        <f t="shared" si="0"/>
        <v>1</v>
      </c>
      <c r="AH6" s="3">
        <f t="shared" si="1"/>
        <v>2</v>
      </c>
      <c r="AI6" s="3">
        <f t="shared" si="2"/>
        <v>22</v>
      </c>
    </row>
    <row r="7" spans="1:35" ht="25.05" customHeight="1" x14ac:dyDescent="0.3">
      <c r="A7" s="2" t="s">
        <v>73</v>
      </c>
      <c r="B7" s="2" t="s">
        <v>74</v>
      </c>
      <c r="C7" s="2" t="s">
        <v>75</v>
      </c>
      <c r="D7" s="2" t="s">
        <v>76</v>
      </c>
      <c r="E7" s="2" t="s">
        <v>77</v>
      </c>
      <c r="F7" s="2" t="s">
        <v>37</v>
      </c>
      <c r="G7" s="5" t="s">
        <v>731</v>
      </c>
      <c r="H7" s="5" t="s">
        <v>731</v>
      </c>
      <c r="I7" s="5" t="s">
        <v>731</v>
      </c>
      <c r="J7" s="5" t="s">
        <v>731</v>
      </c>
      <c r="K7" s="5" t="s">
        <v>731</v>
      </c>
      <c r="L7" s="2" t="s">
        <v>37</v>
      </c>
      <c r="M7" s="2" t="s">
        <v>37</v>
      </c>
      <c r="N7" s="2" t="s">
        <v>78</v>
      </c>
      <c r="O7" s="5" t="s">
        <v>731</v>
      </c>
      <c r="P7" s="2" t="s">
        <v>79</v>
      </c>
      <c r="Q7" s="2" t="s">
        <v>80</v>
      </c>
      <c r="R7" s="2" t="s">
        <v>81</v>
      </c>
      <c r="S7" s="2" t="s">
        <v>82</v>
      </c>
      <c r="T7" s="2" t="s">
        <v>37</v>
      </c>
      <c r="U7" s="2" t="s">
        <v>83</v>
      </c>
      <c r="V7" s="5" t="s">
        <v>731</v>
      </c>
      <c r="W7" s="2" t="s">
        <v>84</v>
      </c>
      <c r="X7" s="5" t="s">
        <v>731</v>
      </c>
      <c r="Y7" s="5" t="s">
        <v>731</v>
      </c>
      <c r="Z7" s="2" t="s">
        <v>37</v>
      </c>
      <c r="AA7" s="2" t="s">
        <v>37</v>
      </c>
      <c r="AB7" s="2" t="s">
        <v>85</v>
      </c>
      <c r="AC7" s="2" t="s">
        <v>86</v>
      </c>
      <c r="AD7" s="2" t="s">
        <v>87</v>
      </c>
      <c r="AE7" s="2" t="s">
        <v>88</v>
      </c>
      <c r="AF7" s="2" t="s">
        <v>89</v>
      </c>
      <c r="AG7" s="3">
        <f t="shared" si="0"/>
        <v>3</v>
      </c>
      <c r="AH7" s="3">
        <f t="shared" si="1"/>
        <v>4</v>
      </c>
      <c r="AI7" s="3">
        <f t="shared" si="2"/>
        <v>9</v>
      </c>
    </row>
    <row r="8" spans="1:35" ht="25.05" customHeight="1" x14ac:dyDescent="0.3">
      <c r="A8" s="2" t="s">
        <v>90</v>
      </c>
      <c r="B8" s="2" t="s">
        <v>91</v>
      </c>
      <c r="C8" s="2" t="s">
        <v>92</v>
      </c>
      <c r="D8" s="2" t="s">
        <v>93</v>
      </c>
      <c r="E8" s="2" t="s">
        <v>94</v>
      </c>
      <c r="F8" s="2" t="s">
        <v>37</v>
      </c>
      <c r="G8" s="2" t="s">
        <v>95</v>
      </c>
      <c r="H8" s="2" t="s">
        <v>96</v>
      </c>
      <c r="I8" s="2" t="s">
        <v>97</v>
      </c>
      <c r="J8" s="2" t="s">
        <v>98</v>
      </c>
      <c r="K8" s="2" t="s">
        <v>99</v>
      </c>
      <c r="L8" s="2" t="s">
        <v>37</v>
      </c>
      <c r="M8" s="2" t="s">
        <v>37</v>
      </c>
      <c r="N8" s="5" t="s">
        <v>731</v>
      </c>
      <c r="O8" s="2" t="s">
        <v>100</v>
      </c>
      <c r="P8" s="2" t="s">
        <v>101</v>
      </c>
      <c r="Q8" s="2" t="s">
        <v>102</v>
      </c>
      <c r="R8" s="2" t="s">
        <v>103</v>
      </c>
      <c r="S8" s="2" t="s">
        <v>104</v>
      </c>
      <c r="T8" s="2" t="s">
        <v>37</v>
      </c>
      <c r="U8" s="2" t="s">
        <v>105</v>
      </c>
      <c r="V8" s="2" t="s">
        <v>106</v>
      </c>
      <c r="W8" s="2" t="s">
        <v>107</v>
      </c>
      <c r="X8" s="2" t="s">
        <v>108</v>
      </c>
      <c r="Y8" s="2" t="s">
        <v>109</v>
      </c>
      <c r="Z8" s="2" t="s">
        <v>37</v>
      </c>
      <c r="AA8" s="2" t="s">
        <v>37</v>
      </c>
      <c r="AB8" s="2" t="s">
        <v>110</v>
      </c>
      <c r="AC8" s="2" t="s">
        <v>111</v>
      </c>
      <c r="AD8" s="2" t="s">
        <v>112</v>
      </c>
      <c r="AE8" s="2" t="s">
        <v>113</v>
      </c>
      <c r="AF8" s="2" t="s">
        <v>114</v>
      </c>
      <c r="AG8" s="3">
        <f t="shared" si="0"/>
        <v>10</v>
      </c>
      <c r="AH8" s="3">
        <f t="shared" si="1"/>
        <v>6</v>
      </c>
      <c r="AI8" s="3">
        <f t="shared" si="2"/>
        <v>1</v>
      </c>
    </row>
    <row r="9" spans="1:35" ht="25.05" customHeight="1" x14ac:dyDescent="0.3">
      <c r="A9" s="2" t="s">
        <v>115</v>
      </c>
      <c r="B9" s="2" t="s">
        <v>116</v>
      </c>
      <c r="C9" s="5" t="s">
        <v>731</v>
      </c>
      <c r="D9" s="2" t="s">
        <v>117</v>
      </c>
      <c r="E9" s="2" t="s">
        <v>118</v>
      </c>
      <c r="F9" s="2" t="s">
        <v>37</v>
      </c>
      <c r="G9" s="2" t="s">
        <v>119</v>
      </c>
      <c r="H9" s="2" t="s">
        <v>120</v>
      </c>
      <c r="I9" s="2" t="s">
        <v>121</v>
      </c>
      <c r="J9" s="2" t="s">
        <v>122</v>
      </c>
      <c r="K9" s="2" t="s">
        <v>123</v>
      </c>
      <c r="L9" s="2" t="s">
        <v>37</v>
      </c>
      <c r="M9" s="2" t="s">
        <v>37</v>
      </c>
      <c r="N9" s="5" t="s">
        <v>731</v>
      </c>
      <c r="O9" s="2" t="s">
        <v>124</v>
      </c>
      <c r="P9" s="2" t="s">
        <v>125</v>
      </c>
      <c r="Q9" s="2" t="s">
        <v>126</v>
      </c>
      <c r="R9" s="2" t="s">
        <v>127</v>
      </c>
      <c r="S9" s="5" t="s">
        <v>731</v>
      </c>
      <c r="T9" s="2" t="s">
        <v>37</v>
      </c>
      <c r="U9" s="2" t="s">
        <v>128</v>
      </c>
      <c r="V9" s="2" t="s">
        <v>129</v>
      </c>
      <c r="W9" s="2" t="s">
        <v>130</v>
      </c>
      <c r="X9" s="2" t="s">
        <v>131</v>
      </c>
      <c r="Y9" s="2" t="s">
        <v>132</v>
      </c>
      <c r="Z9" s="2" t="s">
        <v>37</v>
      </c>
      <c r="AA9" s="2" t="s">
        <v>37</v>
      </c>
      <c r="AB9" s="2" t="s">
        <v>133</v>
      </c>
      <c r="AC9" s="2" t="s">
        <v>134</v>
      </c>
      <c r="AD9" s="2" t="s">
        <v>135</v>
      </c>
      <c r="AE9" s="2" t="s">
        <v>136</v>
      </c>
      <c r="AF9" s="2" t="s">
        <v>137</v>
      </c>
      <c r="AG9" s="3">
        <f t="shared" si="0"/>
        <v>20</v>
      </c>
      <c r="AH9" s="3">
        <f t="shared" si="1"/>
        <v>3</v>
      </c>
      <c r="AI9" s="3">
        <f t="shared" si="2"/>
        <v>3</v>
      </c>
    </row>
    <row r="10" spans="1:35" ht="25.05" customHeight="1" x14ac:dyDescent="0.3">
      <c r="A10" s="2" t="s">
        <v>138</v>
      </c>
      <c r="B10" s="2" t="s">
        <v>139</v>
      </c>
      <c r="C10" s="5" t="s">
        <v>731</v>
      </c>
      <c r="D10" s="5" t="s">
        <v>731</v>
      </c>
      <c r="E10" s="5" t="s">
        <v>731</v>
      </c>
      <c r="F10" s="2" t="s">
        <v>37</v>
      </c>
      <c r="G10" s="5" t="s">
        <v>731</v>
      </c>
      <c r="H10" s="5" t="s">
        <v>731</v>
      </c>
      <c r="I10" s="5" t="s">
        <v>731</v>
      </c>
      <c r="J10" s="5" t="s">
        <v>731</v>
      </c>
      <c r="K10" s="5" t="s">
        <v>731</v>
      </c>
      <c r="L10" s="2" t="s">
        <v>37</v>
      </c>
      <c r="M10" s="2" t="s">
        <v>37</v>
      </c>
      <c r="N10" s="2" t="s">
        <v>140</v>
      </c>
      <c r="O10" s="2" t="s">
        <v>141</v>
      </c>
      <c r="P10" s="2" t="s">
        <v>142</v>
      </c>
      <c r="Q10" s="2" t="s">
        <v>143</v>
      </c>
      <c r="R10" s="2" t="s">
        <v>144</v>
      </c>
      <c r="S10" s="2" t="s">
        <v>145</v>
      </c>
      <c r="T10" s="2" t="s">
        <v>37</v>
      </c>
      <c r="U10" s="2" t="s">
        <v>146</v>
      </c>
      <c r="V10" s="2" t="s">
        <v>147</v>
      </c>
      <c r="W10" s="5" t="s">
        <v>731</v>
      </c>
      <c r="X10" s="2" t="s">
        <v>148</v>
      </c>
      <c r="Y10" s="2" t="s">
        <v>149</v>
      </c>
      <c r="Z10" s="2" t="s">
        <v>37</v>
      </c>
      <c r="AA10" s="2" t="s">
        <v>37</v>
      </c>
      <c r="AB10" s="5" t="s">
        <v>731</v>
      </c>
      <c r="AC10" s="5" t="s">
        <v>731</v>
      </c>
      <c r="AD10" s="5" t="s">
        <v>731</v>
      </c>
      <c r="AE10" s="2" t="s">
        <v>150</v>
      </c>
      <c r="AF10" s="2" t="s">
        <v>151</v>
      </c>
      <c r="AG10" s="3">
        <f t="shared" si="0"/>
        <v>2</v>
      </c>
      <c r="AH10" s="3">
        <f t="shared" si="1"/>
        <v>1</v>
      </c>
      <c r="AI10" s="3">
        <f t="shared" si="2"/>
        <v>12</v>
      </c>
    </row>
    <row r="11" spans="1:35" ht="25.05" customHeight="1" x14ac:dyDescent="0.3">
      <c r="A11" s="2" t="s">
        <v>152</v>
      </c>
      <c r="B11" s="2" t="s">
        <v>153</v>
      </c>
      <c r="C11" s="5" t="s">
        <v>731</v>
      </c>
      <c r="D11" s="2" t="s">
        <v>154</v>
      </c>
      <c r="E11" s="5" t="s">
        <v>731</v>
      </c>
      <c r="F11" s="2" t="s">
        <v>37</v>
      </c>
      <c r="G11" s="5" t="s">
        <v>731</v>
      </c>
      <c r="H11" s="2" t="s">
        <v>155</v>
      </c>
      <c r="I11" s="2" t="s">
        <v>156</v>
      </c>
      <c r="J11" s="5" t="s">
        <v>731</v>
      </c>
      <c r="K11" s="5" t="s">
        <v>731</v>
      </c>
      <c r="L11" s="2" t="s">
        <v>37</v>
      </c>
      <c r="M11" s="2" t="s">
        <v>37</v>
      </c>
      <c r="N11" s="5" t="s">
        <v>731</v>
      </c>
      <c r="O11" s="5" t="s">
        <v>731</v>
      </c>
      <c r="P11" s="2" t="s">
        <v>157</v>
      </c>
      <c r="Q11" s="2" t="s">
        <v>158</v>
      </c>
      <c r="R11" s="2" t="s">
        <v>159</v>
      </c>
      <c r="S11" s="2" t="s">
        <v>160</v>
      </c>
      <c r="T11" s="2" t="s">
        <v>37</v>
      </c>
      <c r="U11" s="5" t="s">
        <v>731</v>
      </c>
      <c r="V11" s="2" t="s">
        <v>161</v>
      </c>
      <c r="W11" s="2" t="s">
        <v>162</v>
      </c>
      <c r="X11" s="5" t="s">
        <v>731</v>
      </c>
      <c r="Y11" s="5" t="s">
        <v>731</v>
      </c>
      <c r="Z11" s="2" t="s">
        <v>37</v>
      </c>
      <c r="AA11" s="2" t="s">
        <v>37</v>
      </c>
      <c r="AB11" s="2" t="s">
        <v>163</v>
      </c>
      <c r="AC11" s="5" t="s">
        <v>731</v>
      </c>
      <c r="AD11" s="5" t="s">
        <v>731</v>
      </c>
      <c r="AE11" s="5" t="s">
        <v>731</v>
      </c>
      <c r="AF11" s="2" t="s">
        <v>164</v>
      </c>
      <c r="AG11" s="3">
        <f t="shared" si="0"/>
        <v>9</v>
      </c>
      <c r="AH11" s="3">
        <f t="shared" si="1"/>
        <v>10</v>
      </c>
      <c r="AI11" s="3">
        <f t="shared" si="2"/>
        <v>13</v>
      </c>
    </row>
    <row r="12" spans="1:35" ht="25.05" customHeight="1" x14ac:dyDescent="0.3">
      <c r="A12" s="2" t="s">
        <v>165</v>
      </c>
      <c r="B12" s="2" t="s">
        <v>166</v>
      </c>
      <c r="C12" s="2" t="s">
        <v>167</v>
      </c>
      <c r="D12" s="2" t="s">
        <v>168</v>
      </c>
      <c r="E12" s="5" t="s">
        <v>731</v>
      </c>
      <c r="F12" s="2" t="s">
        <v>37</v>
      </c>
      <c r="G12" s="2" t="s">
        <v>169</v>
      </c>
      <c r="H12" s="2" t="s">
        <v>170</v>
      </c>
      <c r="I12" s="2" t="s">
        <v>171</v>
      </c>
      <c r="J12" s="2" t="s">
        <v>172</v>
      </c>
      <c r="K12" s="2" t="s">
        <v>173</v>
      </c>
      <c r="L12" s="2" t="s">
        <v>37</v>
      </c>
      <c r="M12" s="2" t="s">
        <v>37</v>
      </c>
      <c r="N12" s="2" t="s">
        <v>174</v>
      </c>
      <c r="O12" s="2" t="s">
        <v>175</v>
      </c>
      <c r="P12" s="2" t="s">
        <v>176</v>
      </c>
      <c r="Q12" s="2" t="s">
        <v>177</v>
      </c>
      <c r="R12" s="2" t="s">
        <v>178</v>
      </c>
      <c r="S12" s="2" t="s">
        <v>179</v>
      </c>
      <c r="T12" s="2" t="s">
        <v>37</v>
      </c>
      <c r="U12" s="2" t="s">
        <v>180</v>
      </c>
      <c r="V12" s="2" t="s">
        <v>181</v>
      </c>
      <c r="W12" s="2" t="s">
        <v>182</v>
      </c>
      <c r="X12" s="2" t="s">
        <v>183</v>
      </c>
      <c r="Y12" s="2" t="s">
        <v>184</v>
      </c>
      <c r="Z12" s="2" t="s">
        <v>37</v>
      </c>
      <c r="AA12" s="2" t="s">
        <v>37</v>
      </c>
      <c r="AB12" s="5" t="s">
        <v>731</v>
      </c>
      <c r="AC12" s="5" t="s">
        <v>731</v>
      </c>
      <c r="AD12" s="2" t="s">
        <v>185</v>
      </c>
      <c r="AE12" s="2" t="s">
        <v>186</v>
      </c>
      <c r="AF12" s="2" t="s">
        <v>187</v>
      </c>
      <c r="AG12" s="3">
        <f t="shared" si="0"/>
        <v>21</v>
      </c>
      <c r="AH12" s="3">
        <f t="shared" si="1"/>
        <v>9</v>
      </c>
      <c r="AI12" s="3">
        <f t="shared" si="2"/>
        <v>3</v>
      </c>
    </row>
    <row r="13" spans="1:35" ht="25.05" customHeight="1" x14ac:dyDescent="0.3">
      <c r="A13" s="2" t="s">
        <v>188</v>
      </c>
      <c r="B13" s="2" t="s">
        <v>189</v>
      </c>
      <c r="C13" s="2" t="s">
        <v>190</v>
      </c>
      <c r="D13" s="2" t="s">
        <v>191</v>
      </c>
      <c r="E13" s="2" t="s">
        <v>192</v>
      </c>
      <c r="F13" s="2" t="s">
        <v>37</v>
      </c>
      <c r="G13" s="5" t="s">
        <v>731</v>
      </c>
      <c r="H13" s="5" t="s">
        <v>731</v>
      </c>
      <c r="I13" s="5" t="s">
        <v>731</v>
      </c>
      <c r="J13" s="5" t="s">
        <v>731</v>
      </c>
      <c r="K13" s="5" t="s">
        <v>731</v>
      </c>
      <c r="L13" s="2" t="s">
        <v>37</v>
      </c>
      <c r="M13" s="2" t="s">
        <v>37</v>
      </c>
      <c r="N13" s="2" t="s">
        <v>193</v>
      </c>
      <c r="O13" s="2" t="s">
        <v>194</v>
      </c>
      <c r="P13" s="2" t="s">
        <v>195</v>
      </c>
      <c r="Q13" s="2" t="s">
        <v>196</v>
      </c>
      <c r="R13" s="2" t="s">
        <v>197</v>
      </c>
      <c r="S13" s="5" t="s">
        <v>731</v>
      </c>
      <c r="T13" s="2" t="s">
        <v>37</v>
      </c>
      <c r="U13" s="2" t="s">
        <v>198</v>
      </c>
      <c r="V13" s="2" t="s">
        <v>199</v>
      </c>
      <c r="W13" s="2" t="s">
        <v>200</v>
      </c>
      <c r="X13" s="5" t="s">
        <v>731</v>
      </c>
      <c r="Y13" s="5" t="s">
        <v>731</v>
      </c>
      <c r="Z13" s="2" t="s">
        <v>37</v>
      </c>
      <c r="AA13" s="2" t="s">
        <v>37</v>
      </c>
      <c r="AB13" s="2" t="s">
        <v>201</v>
      </c>
      <c r="AC13" s="2" t="s">
        <v>202</v>
      </c>
      <c r="AD13" s="2" t="s">
        <v>203</v>
      </c>
      <c r="AE13" s="2" t="s">
        <v>204</v>
      </c>
      <c r="AF13" s="2" t="s">
        <v>205</v>
      </c>
      <c r="AG13" s="3">
        <f t="shared" si="0"/>
        <v>3</v>
      </c>
      <c r="AH13" s="3">
        <f t="shared" si="1"/>
        <v>7</v>
      </c>
      <c r="AI13" s="3">
        <f t="shared" si="2"/>
        <v>8</v>
      </c>
    </row>
    <row r="14" spans="1:35" ht="25.05" customHeight="1" x14ac:dyDescent="0.3">
      <c r="A14" s="2" t="s">
        <v>206</v>
      </c>
      <c r="B14" s="2" t="s">
        <v>207</v>
      </c>
      <c r="C14" s="5" t="s">
        <v>731</v>
      </c>
      <c r="D14" s="5" t="s">
        <v>731</v>
      </c>
      <c r="E14" s="5" t="s">
        <v>731</v>
      </c>
      <c r="F14" s="2" t="s">
        <v>37</v>
      </c>
      <c r="G14" s="5" t="s">
        <v>731</v>
      </c>
      <c r="H14" s="5" t="s">
        <v>731</v>
      </c>
      <c r="I14" s="5" t="s">
        <v>731</v>
      </c>
      <c r="J14" s="5" t="s">
        <v>731</v>
      </c>
      <c r="K14" s="5" t="s">
        <v>731</v>
      </c>
      <c r="L14" s="2" t="s">
        <v>37</v>
      </c>
      <c r="M14" s="2" t="s">
        <v>37</v>
      </c>
      <c r="N14" s="5" t="s">
        <v>731</v>
      </c>
      <c r="O14" s="5" t="s">
        <v>731</v>
      </c>
      <c r="P14" s="5" t="s">
        <v>731</v>
      </c>
      <c r="Q14" s="5" t="s">
        <v>731</v>
      </c>
      <c r="R14" s="5" t="s">
        <v>731</v>
      </c>
      <c r="S14" s="5" t="s">
        <v>731</v>
      </c>
      <c r="T14" s="2" t="s">
        <v>37</v>
      </c>
      <c r="U14" s="5" t="s">
        <v>731</v>
      </c>
      <c r="V14" s="5" t="s">
        <v>731</v>
      </c>
      <c r="W14" s="5" t="s">
        <v>731</v>
      </c>
      <c r="X14" s="5" t="s">
        <v>731</v>
      </c>
      <c r="Y14" s="5" t="s">
        <v>731</v>
      </c>
      <c r="Z14" s="2" t="s">
        <v>37</v>
      </c>
      <c r="AA14" s="2" t="s">
        <v>37</v>
      </c>
      <c r="AB14" s="5" t="s">
        <v>731</v>
      </c>
      <c r="AC14" s="5" t="s">
        <v>731</v>
      </c>
      <c r="AD14" s="5" t="s">
        <v>731</v>
      </c>
      <c r="AE14" s="5" t="s">
        <v>731</v>
      </c>
      <c r="AF14" s="5" t="s">
        <v>731</v>
      </c>
      <c r="AG14" s="3">
        <f t="shared" si="0"/>
        <v>0</v>
      </c>
      <c r="AH14" s="3">
        <f t="shared" si="1"/>
        <v>0</v>
      </c>
      <c r="AI14" s="3">
        <f t="shared" si="2"/>
        <v>24</v>
      </c>
    </row>
    <row r="15" spans="1:35" ht="25.05" customHeight="1" x14ac:dyDescent="0.3">
      <c r="A15" s="2" t="s">
        <v>208</v>
      </c>
      <c r="B15" s="2" t="s">
        <v>209</v>
      </c>
      <c r="C15" s="2" t="s">
        <v>210</v>
      </c>
      <c r="D15" s="2" t="s">
        <v>211</v>
      </c>
      <c r="E15" s="2" t="s">
        <v>212</v>
      </c>
      <c r="F15" s="2" t="s">
        <v>37</v>
      </c>
      <c r="G15" s="2" t="s">
        <v>213</v>
      </c>
      <c r="H15" s="2" t="s">
        <v>214</v>
      </c>
      <c r="I15" s="2" t="s">
        <v>215</v>
      </c>
      <c r="J15" s="2" t="s">
        <v>216</v>
      </c>
      <c r="K15" s="2" t="s">
        <v>217</v>
      </c>
      <c r="L15" s="2" t="s">
        <v>37</v>
      </c>
      <c r="M15" s="2" t="s">
        <v>37</v>
      </c>
      <c r="N15" s="2" t="s">
        <v>218</v>
      </c>
      <c r="O15" s="2" t="s">
        <v>219</v>
      </c>
      <c r="P15" s="2" t="s">
        <v>220</v>
      </c>
      <c r="Q15" s="2" t="s">
        <v>221</v>
      </c>
      <c r="R15" s="5" t="s">
        <v>731</v>
      </c>
      <c r="S15" s="5" t="s">
        <v>731</v>
      </c>
      <c r="T15" s="2" t="s">
        <v>37</v>
      </c>
      <c r="U15" s="2" t="s">
        <v>222</v>
      </c>
      <c r="V15" s="2" t="s">
        <v>223</v>
      </c>
      <c r="W15" s="2" t="s">
        <v>224</v>
      </c>
      <c r="X15" s="2" t="s">
        <v>225</v>
      </c>
      <c r="Y15" s="5" t="s">
        <v>731</v>
      </c>
      <c r="Z15" s="2" t="s">
        <v>37</v>
      </c>
      <c r="AA15" s="2" t="s">
        <v>37</v>
      </c>
      <c r="AB15" s="2" t="s">
        <v>226</v>
      </c>
      <c r="AC15" s="2" t="s">
        <v>227</v>
      </c>
      <c r="AD15" s="2" t="s">
        <v>228</v>
      </c>
      <c r="AE15" s="2" t="s">
        <v>229</v>
      </c>
      <c r="AF15" s="2" t="s">
        <v>230</v>
      </c>
      <c r="AG15" s="3">
        <f t="shared" si="0"/>
        <v>6</v>
      </c>
      <c r="AH15" s="3">
        <f t="shared" si="1"/>
        <v>1</v>
      </c>
      <c r="AI15" s="3">
        <f t="shared" si="2"/>
        <v>3</v>
      </c>
    </row>
    <row r="16" spans="1:35" ht="25.05" customHeight="1" x14ac:dyDescent="0.3">
      <c r="A16" s="2" t="s">
        <v>231</v>
      </c>
      <c r="B16" s="2" t="s">
        <v>232</v>
      </c>
      <c r="C16" s="2" t="s">
        <v>233</v>
      </c>
      <c r="D16" s="2" t="s">
        <v>234</v>
      </c>
      <c r="E16" s="2" t="s">
        <v>235</v>
      </c>
      <c r="F16" s="2" t="s">
        <v>37</v>
      </c>
      <c r="G16" s="2" t="s">
        <v>236</v>
      </c>
      <c r="H16" s="2" t="s">
        <v>237</v>
      </c>
      <c r="I16" s="2" t="s">
        <v>238</v>
      </c>
      <c r="J16" s="2" t="s">
        <v>239</v>
      </c>
      <c r="K16" s="2" t="s">
        <v>240</v>
      </c>
      <c r="L16" s="2" t="s">
        <v>37</v>
      </c>
      <c r="M16" s="2" t="s">
        <v>37</v>
      </c>
      <c r="N16" s="2" t="s">
        <v>241</v>
      </c>
      <c r="O16" s="2" t="s">
        <v>242</v>
      </c>
      <c r="P16" s="2" t="s">
        <v>243</v>
      </c>
      <c r="Q16" s="2" t="s">
        <v>244</v>
      </c>
      <c r="R16" s="2" t="s">
        <v>245</v>
      </c>
      <c r="S16" s="5" t="s">
        <v>731</v>
      </c>
      <c r="T16" s="2" t="s">
        <v>37</v>
      </c>
      <c r="U16" s="2" t="s">
        <v>246</v>
      </c>
      <c r="V16" s="2" t="s">
        <v>247</v>
      </c>
      <c r="W16" s="2" t="s">
        <v>248</v>
      </c>
      <c r="X16" s="5" t="s">
        <v>731</v>
      </c>
      <c r="Y16" s="2" t="s">
        <v>249</v>
      </c>
      <c r="Z16" s="2" t="s">
        <v>37</v>
      </c>
      <c r="AA16" s="2" t="s">
        <v>37</v>
      </c>
      <c r="AB16" s="2" t="s">
        <v>250</v>
      </c>
      <c r="AC16" s="2" t="s">
        <v>251</v>
      </c>
      <c r="AD16" s="2" t="s">
        <v>252</v>
      </c>
      <c r="AE16" s="2" t="s">
        <v>253</v>
      </c>
      <c r="AF16" s="2" t="s">
        <v>254</v>
      </c>
      <c r="AG16" s="3">
        <f t="shared" si="0"/>
        <v>18</v>
      </c>
      <c r="AH16" s="3">
        <f t="shared" si="1"/>
        <v>9</v>
      </c>
      <c r="AI16" s="3">
        <f t="shared" si="2"/>
        <v>2</v>
      </c>
    </row>
    <row r="17" spans="1:35" ht="25.05" customHeight="1" x14ac:dyDescent="0.3">
      <c r="A17" s="2" t="s">
        <v>255</v>
      </c>
      <c r="B17" s="2" t="s">
        <v>256</v>
      </c>
      <c r="C17" s="5" t="s">
        <v>731</v>
      </c>
      <c r="D17" s="2" t="s">
        <v>257</v>
      </c>
      <c r="E17" s="5" t="s">
        <v>731</v>
      </c>
      <c r="F17" s="2" t="s">
        <v>37</v>
      </c>
      <c r="G17" s="5" t="s">
        <v>731</v>
      </c>
      <c r="H17" s="5" t="s">
        <v>731</v>
      </c>
      <c r="I17" s="5" t="s">
        <v>731</v>
      </c>
      <c r="J17" s="5" t="s">
        <v>731</v>
      </c>
      <c r="K17" s="5" t="s">
        <v>731</v>
      </c>
      <c r="L17" s="2" t="s">
        <v>37</v>
      </c>
      <c r="M17" s="2" t="s">
        <v>37</v>
      </c>
      <c r="N17" s="2" t="s">
        <v>258</v>
      </c>
      <c r="O17" s="2" t="s">
        <v>259</v>
      </c>
      <c r="P17" s="2" t="s">
        <v>260</v>
      </c>
      <c r="Q17" s="2" t="s">
        <v>261</v>
      </c>
      <c r="R17" s="5" t="s">
        <v>731</v>
      </c>
      <c r="S17" s="2" t="s">
        <v>262</v>
      </c>
      <c r="T17" s="2" t="s">
        <v>37</v>
      </c>
      <c r="U17" s="2" t="s">
        <v>263</v>
      </c>
      <c r="V17" s="2" t="s">
        <v>264</v>
      </c>
      <c r="W17" s="2" t="s">
        <v>265</v>
      </c>
      <c r="X17" s="2" t="s">
        <v>266</v>
      </c>
      <c r="Y17" s="5" t="s">
        <v>731</v>
      </c>
      <c r="Z17" s="2" t="s">
        <v>37</v>
      </c>
      <c r="AA17" s="2" t="s">
        <v>37</v>
      </c>
      <c r="AB17" s="5" t="s">
        <v>731</v>
      </c>
      <c r="AC17" s="2" t="s">
        <v>267</v>
      </c>
      <c r="AD17" s="2" t="s">
        <v>268</v>
      </c>
      <c r="AE17" s="2" t="s">
        <v>269</v>
      </c>
      <c r="AF17" s="2" t="s">
        <v>270</v>
      </c>
      <c r="AG17" s="3">
        <f t="shared" si="0"/>
        <v>8</v>
      </c>
      <c r="AH17" s="3">
        <f t="shared" si="1"/>
        <v>6</v>
      </c>
      <c r="AI17" s="3">
        <f t="shared" si="2"/>
        <v>10</v>
      </c>
    </row>
    <row r="18" spans="1:35" ht="25.05" customHeight="1" x14ac:dyDescent="0.3">
      <c r="A18" s="2" t="s">
        <v>271</v>
      </c>
      <c r="B18" s="2" t="s">
        <v>272</v>
      </c>
      <c r="C18" s="2" t="s">
        <v>273</v>
      </c>
      <c r="D18" s="2" t="s">
        <v>274</v>
      </c>
      <c r="E18" s="5" t="s">
        <v>731</v>
      </c>
      <c r="F18" s="2" t="s">
        <v>37</v>
      </c>
      <c r="G18" s="5" t="s">
        <v>731</v>
      </c>
      <c r="H18" s="2" t="s">
        <v>275</v>
      </c>
      <c r="I18" s="2" t="s">
        <v>276</v>
      </c>
      <c r="J18" s="2" t="s">
        <v>277</v>
      </c>
      <c r="K18" s="2" t="s">
        <v>278</v>
      </c>
      <c r="L18" s="2" t="s">
        <v>37</v>
      </c>
      <c r="M18" s="2" t="s">
        <v>37</v>
      </c>
      <c r="N18" s="2" t="s">
        <v>279</v>
      </c>
      <c r="O18" s="2" t="s">
        <v>280</v>
      </c>
      <c r="P18" s="2" t="s">
        <v>281</v>
      </c>
      <c r="Q18" s="2" t="s">
        <v>282</v>
      </c>
      <c r="R18" s="2" t="s">
        <v>283</v>
      </c>
      <c r="S18" s="2" t="s">
        <v>284</v>
      </c>
      <c r="T18" s="2" t="s">
        <v>37</v>
      </c>
      <c r="U18" s="2"/>
      <c r="V18" s="2" t="s">
        <v>285</v>
      </c>
      <c r="W18" s="2" t="s">
        <v>286</v>
      </c>
      <c r="X18" s="2" t="s">
        <v>287</v>
      </c>
      <c r="Y18" s="2" t="s">
        <v>288</v>
      </c>
      <c r="Z18" s="2" t="s">
        <v>37</v>
      </c>
      <c r="AA18" s="2" t="s">
        <v>37</v>
      </c>
      <c r="AB18" s="2" t="s">
        <v>289</v>
      </c>
      <c r="AC18" s="2" t="s">
        <v>290</v>
      </c>
      <c r="AD18" s="2" t="s">
        <v>291</v>
      </c>
      <c r="AE18" s="2" t="s">
        <v>292</v>
      </c>
      <c r="AF18" s="2" t="s">
        <v>293</v>
      </c>
      <c r="AG18" s="3">
        <f t="shared" si="0"/>
        <v>0</v>
      </c>
      <c r="AH18" s="3">
        <f t="shared" si="1"/>
        <v>0</v>
      </c>
      <c r="AI18" s="3">
        <f t="shared" si="2"/>
        <v>2</v>
      </c>
    </row>
    <row r="19" spans="1:35" ht="25.05" customHeight="1" x14ac:dyDescent="0.3">
      <c r="A19" s="2" t="s">
        <v>294</v>
      </c>
      <c r="B19" s="2" t="s">
        <v>295</v>
      </c>
      <c r="C19" s="2" t="s">
        <v>296</v>
      </c>
      <c r="D19" s="2" t="s">
        <v>297</v>
      </c>
      <c r="E19" s="5" t="s">
        <v>731</v>
      </c>
      <c r="F19" s="2" t="s">
        <v>37</v>
      </c>
      <c r="G19" s="2" t="s">
        <v>298</v>
      </c>
      <c r="H19" s="2" t="s">
        <v>299</v>
      </c>
      <c r="I19" s="5" t="s">
        <v>731</v>
      </c>
      <c r="J19" s="5" t="s">
        <v>731</v>
      </c>
      <c r="K19" s="2" t="s">
        <v>300</v>
      </c>
      <c r="L19" s="2" t="s">
        <v>37</v>
      </c>
      <c r="M19" s="2" t="s">
        <v>37</v>
      </c>
      <c r="N19" s="2" t="s">
        <v>301</v>
      </c>
      <c r="O19" s="2" t="s">
        <v>302</v>
      </c>
      <c r="P19" s="5" t="s">
        <v>731</v>
      </c>
      <c r="Q19" s="2" t="s">
        <v>303</v>
      </c>
      <c r="R19" s="2" t="s">
        <v>304</v>
      </c>
      <c r="S19" s="2" t="s">
        <v>305</v>
      </c>
      <c r="T19" s="2" t="s">
        <v>37</v>
      </c>
      <c r="U19" s="2"/>
      <c r="V19" s="2" t="s">
        <v>306</v>
      </c>
      <c r="W19" s="5" t="s">
        <v>731</v>
      </c>
      <c r="X19" s="2" t="s">
        <v>307</v>
      </c>
      <c r="Y19" s="2" t="s">
        <v>308</v>
      </c>
      <c r="Z19" s="2" t="s">
        <v>37</v>
      </c>
      <c r="AA19" s="2" t="s">
        <v>37</v>
      </c>
      <c r="AB19" s="2" t="s">
        <v>309</v>
      </c>
      <c r="AC19" s="2" t="s">
        <v>310</v>
      </c>
      <c r="AD19" s="5" t="s">
        <v>731</v>
      </c>
      <c r="AE19" s="2" t="s">
        <v>311</v>
      </c>
      <c r="AF19" s="2" t="s">
        <v>312</v>
      </c>
      <c r="AG19" s="3">
        <f t="shared" si="0"/>
        <v>8</v>
      </c>
      <c r="AH19" s="3">
        <f t="shared" si="1"/>
        <v>0</v>
      </c>
      <c r="AI19" s="3">
        <f t="shared" si="2"/>
        <v>6</v>
      </c>
    </row>
    <row r="20" spans="1:35" ht="25.05" customHeight="1" x14ac:dyDescent="0.3">
      <c r="A20" s="2" t="s">
        <v>313</v>
      </c>
      <c r="B20" s="2" t="s">
        <v>314</v>
      </c>
      <c r="C20" s="5" t="s">
        <v>731</v>
      </c>
      <c r="D20" s="5" t="s">
        <v>731</v>
      </c>
      <c r="E20" s="5" t="s">
        <v>731</v>
      </c>
      <c r="F20" s="2" t="s">
        <v>37</v>
      </c>
      <c r="G20" s="5" t="s">
        <v>731</v>
      </c>
      <c r="H20" s="5" t="s">
        <v>731</v>
      </c>
      <c r="I20" s="5" t="s">
        <v>731</v>
      </c>
      <c r="J20" s="5" t="s">
        <v>731</v>
      </c>
      <c r="K20" s="5" t="s">
        <v>731</v>
      </c>
      <c r="L20" s="2" t="s">
        <v>37</v>
      </c>
      <c r="M20" s="2" t="s">
        <v>37</v>
      </c>
      <c r="N20" s="5" t="s">
        <v>731</v>
      </c>
      <c r="O20" s="5" t="s">
        <v>731</v>
      </c>
      <c r="P20" s="5" t="s">
        <v>731</v>
      </c>
      <c r="Q20" s="5" t="s">
        <v>731</v>
      </c>
      <c r="R20" s="5" t="s">
        <v>731</v>
      </c>
      <c r="S20" s="5" t="s">
        <v>731</v>
      </c>
      <c r="T20" s="2" t="s">
        <v>37</v>
      </c>
      <c r="U20" s="2"/>
      <c r="V20" s="5" t="s">
        <v>731</v>
      </c>
      <c r="W20" s="2" t="s">
        <v>315</v>
      </c>
      <c r="X20" s="5" t="s">
        <v>731</v>
      </c>
      <c r="Y20" s="5" t="s">
        <v>731</v>
      </c>
      <c r="Z20" s="2" t="s">
        <v>37</v>
      </c>
      <c r="AA20" s="2" t="s">
        <v>37</v>
      </c>
      <c r="AB20" s="5" t="s">
        <v>731</v>
      </c>
      <c r="AC20" s="5" t="s">
        <v>731</v>
      </c>
      <c r="AD20" s="5" t="s">
        <v>731</v>
      </c>
      <c r="AE20" s="5" t="s">
        <v>731</v>
      </c>
      <c r="AF20" s="5" t="s">
        <v>731</v>
      </c>
      <c r="AG20" s="3">
        <f t="shared" si="0"/>
        <v>0</v>
      </c>
      <c r="AH20" s="3">
        <f t="shared" si="1"/>
        <v>1</v>
      </c>
      <c r="AI20" s="3">
        <f t="shared" si="2"/>
        <v>22</v>
      </c>
    </row>
    <row r="21" spans="1:35" ht="25.05" customHeight="1" x14ac:dyDescent="0.3">
      <c r="A21" s="2" t="s">
        <v>316</v>
      </c>
      <c r="B21" s="2" t="s">
        <v>317</v>
      </c>
      <c r="C21" s="2" t="s">
        <v>318</v>
      </c>
      <c r="D21" s="2" t="s">
        <v>319</v>
      </c>
      <c r="E21" s="2" t="s">
        <v>320</v>
      </c>
      <c r="F21" s="2" t="s">
        <v>37</v>
      </c>
      <c r="G21" s="2" t="s">
        <v>321</v>
      </c>
      <c r="H21" s="2" t="s">
        <v>322</v>
      </c>
      <c r="I21" s="2" t="s">
        <v>323</v>
      </c>
      <c r="J21" s="2" t="s">
        <v>324</v>
      </c>
      <c r="K21" s="2" t="s">
        <v>325</v>
      </c>
      <c r="L21" s="2" t="s">
        <v>37</v>
      </c>
      <c r="M21" s="2" t="s">
        <v>37</v>
      </c>
      <c r="N21" s="2" t="s">
        <v>326</v>
      </c>
      <c r="O21" s="5" t="s">
        <v>731</v>
      </c>
      <c r="P21" s="2" t="s">
        <v>327</v>
      </c>
      <c r="Q21" s="2" t="s">
        <v>328</v>
      </c>
      <c r="R21" s="5" t="s">
        <v>731</v>
      </c>
      <c r="S21" s="2" t="s">
        <v>329</v>
      </c>
      <c r="T21" s="2" t="s">
        <v>37</v>
      </c>
      <c r="U21" s="2" t="s">
        <v>330</v>
      </c>
      <c r="V21" s="2" t="s">
        <v>331</v>
      </c>
      <c r="W21" s="2" t="s">
        <v>332</v>
      </c>
      <c r="X21" s="2" t="s">
        <v>333</v>
      </c>
      <c r="Y21" s="2" t="s">
        <v>334</v>
      </c>
      <c r="Z21" s="2" t="s">
        <v>37</v>
      </c>
      <c r="AA21" s="2" t="s">
        <v>37</v>
      </c>
      <c r="AB21" s="2" t="s">
        <v>335</v>
      </c>
      <c r="AC21" s="2" t="s">
        <v>336</v>
      </c>
      <c r="AD21" s="5" t="s">
        <v>731</v>
      </c>
      <c r="AE21" s="2" t="s">
        <v>337</v>
      </c>
      <c r="AF21" s="2" t="s">
        <v>338</v>
      </c>
      <c r="AG21" s="3">
        <f t="shared" si="0"/>
        <v>12</v>
      </c>
      <c r="AH21" s="3">
        <f t="shared" si="1"/>
        <v>15</v>
      </c>
      <c r="AI21" s="3">
        <f t="shared" si="2"/>
        <v>3</v>
      </c>
    </row>
    <row r="22" spans="1:35" ht="25.05" customHeight="1" x14ac:dyDescent="0.3">
      <c r="A22" s="2" t="s">
        <v>339</v>
      </c>
      <c r="B22" s="2" t="s">
        <v>340</v>
      </c>
      <c r="C22" s="2" t="s">
        <v>341</v>
      </c>
      <c r="D22" s="2" t="s">
        <v>342</v>
      </c>
      <c r="E22" s="2" t="s">
        <v>343</v>
      </c>
      <c r="F22" s="2" t="s">
        <v>37</v>
      </c>
      <c r="G22" s="2" t="s">
        <v>344</v>
      </c>
      <c r="H22" s="2" t="s">
        <v>345</v>
      </c>
      <c r="I22" s="2" t="s">
        <v>346</v>
      </c>
      <c r="J22" s="2" t="s">
        <v>347</v>
      </c>
      <c r="K22" s="2" t="s">
        <v>348</v>
      </c>
      <c r="L22" s="2" t="s">
        <v>37</v>
      </c>
      <c r="M22" s="2" t="s">
        <v>37</v>
      </c>
      <c r="N22" s="2" t="s">
        <v>349</v>
      </c>
      <c r="O22" s="2" t="s">
        <v>350</v>
      </c>
      <c r="P22" s="2" t="s">
        <v>351</v>
      </c>
      <c r="Q22" s="2" t="s">
        <v>352</v>
      </c>
      <c r="R22" s="2" t="s">
        <v>353</v>
      </c>
      <c r="S22" s="5" t="s">
        <v>731</v>
      </c>
      <c r="T22" s="2" t="s">
        <v>37</v>
      </c>
      <c r="U22" s="2" t="s">
        <v>354</v>
      </c>
      <c r="V22" s="2" t="s">
        <v>355</v>
      </c>
      <c r="W22" s="2" t="s">
        <v>356</v>
      </c>
      <c r="X22" s="2" t="s">
        <v>357</v>
      </c>
      <c r="Y22" s="2" t="s">
        <v>358</v>
      </c>
      <c r="Z22" s="2" t="s">
        <v>37</v>
      </c>
      <c r="AA22" s="2" t="s">
        <v>37</v>
      </c>
      <c r="AB22" s="2" t="s">
        <v>359</v>
      </c>
      <c r="AC22" s="2" t="s">
        <v>360</v>
      </c>
      <c r="AD22" s="2" t="s">
        <v>361</v>
      </c>
      <c r="AE22" s="2" t="s">
        <v>362</v>
      </c>
      <c r="AF22" s="2" t="s">
        <v>363</v>
      </c>
      <c r="AG22" s="3">
        <f t="shared" si="0"/>
        <v>0</v>
      </c>
      <c r="AH22" s="3">
        <f t="shared" si="1"/>
        <v>0</v>
      </c>
      <c r="AI22" s="3">
        <f t="shared" si="2"/>
        <v>1</v>
      </c>
    </row>
    <row r="23" spans="1:35" ht="25.05" customHeight="1" x14ac:dyDescent="0.3">
      <c r="A23" s="2" t="s">
        <v>364</v>
      </c>
      <c r="B23" s="2" t="s">
        <v>365</v>
      </c>
      <c r="C23" s="2" t="s">
        <v>366</v>
      </c>
      <c r="D23" s="2" t="s">
        <v>367</v>
      </c>
      <c r="E23" s="2" t="s">
        <v>368</v>
      </c>
      <c r="F23" s="2" t="s">
        <v>37</v>
      </c>
      <c r="G23" s="2" t="s">
        <v>369</v>
      </c>
      <c r="H23" s="2" t="s">
        <v>370</v>
      </c>
      <c r="I23" s="2" t="s">
        <v>371</v>
      </c>
      <c r="J23" s="2" t="s">
        <v>372</v>
      </c>
      <c r="K23" s="5" t="s">
        <v>731</v>
      </c>
      <c r="L23" s="2" t="s">
        <v>37</v>
      </c>
      <c r="M23" s="2" t="s">
        <v>37</v>
      </c>
      <c r="N23" s="2" t="s">
        <v>373</v>
      </c>
      <c r="O23" s="2" t="s">
        <v>374</v>
      </c>
      <c r="P23" s="2" t="s">
        <v>375</v>
      </c>
      <c r="Q23" s="2" t="s">
        <v>376</v>
      </c>
      <c r="R23" s="2" t="s">
        <v>377</v>
      </c>
      <c r="S23" s="2" t="s">
        <v>378</v>
      </c>
      <c r="T23" s="2" t="s">
        <v>37</v>
      </c>
      <c r="U23" s="2" t="s">
        <v>379</v>
      </c>
      <c r="V23" s="2" t="s">
        <v>380</v>
      </c>
      <c r="W23" s="2" t="s">
        <v>381</v>
      </c>
      <c r="X23" s="2" t="s">
        <v>382</v>
      </c>
      <c r="Y23" s="2" t="s">
        <v>383</v>
      </c>
      <c r="Z23" s="2" t="s">
        <v>37</v>
      </c>
      <c r="AA23" s="2" t="s">
        <v>37</v>
      </c>
      <c r="AB23" s="2" t="s">
        <v>384</v>
      </c>
      <c r="AC23" s="2" t="s">
        <v>385</v>
      </c>
      <c r="AD23" s="2" t="s">
        <v>386</v>
      </c>
      <c r="AE23" s="5" t="s">
        <v>731</v>
      </c>
      <c r="AF23" s="2" t="s">
        <v>387</v>
      </c>
      <c r="AG23" s="3">
        <f t="shared" si="0"/>
        <v>2</v>
      </c>
      <c r="AH23" s="3">
        <f t="shared" si="1"/>
        <v>5</v>
      </c>
      <c r="AI23" s="3">
        <f t="shared" si="2"/>
        <v>2</v>
      </c>
    </row>
    <row r="24" spans="1:35" ht="25.05" customHeight="1" x14ac:dyDescent="0.3">
      <c r="A24" s="2" t="s">
        <v>388</v>
      </c>
      <c r="B24" s="2" t="s">
        <v>389</v>
      </c>
      <c r="C24" s="2" t="s">
        <v>390</v>
      </c>
      <c r="D24" s="2" t="s">
        <v>391</v>
      </c>
      <c r="E24" s="2" t="s">
        <v>392</v>
      </c>
      <c r="F24" s="2" t="s">
        <v>37</v>
      </c>
      <c r="G24" s="2" t="s">
        <v>393</v>
      </c>
      <c r="H24" s="2" t="s">
        <v>394</v>
      </c>
      <c r="I24" s="2" t="s">
        <v>395</v>
      </c>
      <c r="J24" s="2" t="s">
        <v>396</v>
      </c>
      <c r="K24" s="2" t="s">
        <v>397</v>
      </c>
      <c r="L24" s="2" t="s">
        <v>37</v>
      </c>
      <c r="M24" s="2" t="s">
        <v>37</v>
      </c>
      <c r="N24" s="5" t="s">
        <v>731</v>
      </c>
      <c r="O24" s="5" t="s">
        <v>731</v>
      </c>
      <c r="P24" s="2" t="s">
        <v>398</v>
      </c>
      <c r="Q24" s="2" t="s">
        <v>399</v>
      </c>
      <c r="R24" s="2" t="s">
        <v>400</v>
      </c>
      <c r="S24" s="5" t="s">
        <v>731</v>
      </c>
      <c r="T24" s="2" t="s">
        <v>37</v>
      </c>
      <c r="U24" s="2" t="s">
        <v>401</v>
      </c>
      <c r="V24" s="5" t="s">
        <v>731</v>
      </c>
      <c r="W24" s="2" t="s">
        <v>402</v>
      </c>
      <c r="X24" s="2" t="s">
        <v>403</v>
      </c>
      <c r="Y24" s="2" t="s">
        <v>404</v>
      </c>
      <c r="Z24" s="2" t="s">
        <v>37</v>
      </c>
      <c r="AA24" s="2" t="s">
        <v>37</v>
      </c>
      <c r="AB24" s="2" t="s">
        <v>405</v>
      </c>
      <c r="AC24" s="2" t="s">
        <v>406</v>
      </c>
      <c r="AD24" s="5" t="s">
        <v>731</v>
      </c>
      <c r="AE24" s="2" t="s">
        <v>407</v>
      </c>
      <c r="AF24" s="2" t="s">
        <v>408</v>
      </c>
      <c r="AG24" s="3">
        <f t="shared" si="0"/>
        <v>15</v>
      </c>
      <c r="AH24" s="3">
        <f t="shared" si="1"/>
        <v>3</v>
      </c>
      <c r="AI24" s="3">
        <f t="shared" si="2"/>
        <v>5</v>
      </c>
    </row>
    <row r="25" spans="1:35" ht="25.05" customHeight="1" x14ac:dyDescent="0.3">
      <c r="A25" s="2" t="s">
        <v>409</v>
      </c>
      <c r="B25" s="2" t="s">
        <v>410</v>
      </c>
      <c r="C25" s="2" t="s">
        <v>411</v>
      </c>
      <c r="D25" s="2" t="s">
        <v>412</v>
      </c>
      <c r="E25" s="2" t="s">
        <v>413</v>
      </c>
      <c r="F25" s="2" t="s">
        <v>37</v>
      </c>
      <c r="G25" s="2" t="s">
        <v>414</v>
      </c>
      <c r="H25" s="2" t="s">
        <v>415</v>
      </c>
      <c r="I25" s="2" t="s">
        <v>416</v>
      </c>
      <c r="J25" s="2" t="s">
        <v>417</v>
      </c>
      <c r="K25" s="5" t="s">
        <v>731</v>
      </c>
      <c r="L25" s="2" t="s">
        <v>37</v>
      </c>
      <c r="M25" s="2" t="s">
        <v>37</v>
      </c>
      <c r="N25" s="5" t="s">
        <v>731</v>
      </c>
      <c r="O25" s="2" t="s">
        <v>418</v>
      </c>
      <c r="P25" s="2" t="s">
        <v>419</v>
      </c>
      <c r="Q25" s="2" t="s">
        <v>420</v>
      </c>
      <c r="R25" s="2" t="s">
        <v>421</v>
      </c>
      <c r="S25" s="2" t="s">
        <v>422</v>
      </c>
      <c r="T25" s="2" t="s">
        <v>37</v>
      </c>
      <c r="U25" s="2"/>
      <c r="V25" s="2" t="s">
        <v>423</v>
      </c>
      <c r="W25" s="2" t="s">
        <v>424</v>
      </c>
      <c r="X25" s="2" t="s">
        <v>425</v>
      </c>
      <c r="Y25" s="2" t="s">
        <v>426</v>
      </c>
      <c r="Z25" s="2" t="s">
        <v>37</v>
      </c>
      <c r="AA25" s="2" t="s">
        <v>37</v>
      </c>
      <c r="AB25" s="2" t="s">
        <v>427</v>
      </c>
      <c r="AC25" s="2" t="s">
        <v>428</v>
      </c>
      <c r="AD25" s="2" t="s">
        <v>429</v>
      </c>
      <c r="AE25" s="2" t="s">
        <v>430</v>
      </c>
      <c r="AF25" s="5" t="s">
        <v>731</v>
      </c>
      <c r="AG25" s="3">
        <f t="shared" si="0"/>
        <v>12</v>
      </c>
      <c r="AH25" s="3">
        <f t="shared" si="1"/>
        <v>13</v>
      </c>
      <c r="AI25" s="3">
        <f t="shared" si="2"/>
        <v>3</v>
      </c>
    </row>
    <row r="26" spans="1:35" ht="25.05" customHeight="1" x14ac:dyDescent="0.3">
      <c r="A26" s="2" t="s">
        <v>431</v>
      </c>
      <c r="B26" s="2" t="s">
        <v>432</v>
      </c>
      <c r="C26" s="5" t="s">
        <v>731</v>
      </c>
      <c r="D26" s="5" t="s">
        <v>731</v>
      </c>
      <c r="E26" s="5" t="s">
        <v>731</v>
      </c>
      <c r="F26" s="2" t="s">
        <v>37</v>
      </c>
      <c r="G26" s="2" t="s">
        <v>433</v>
      </c>
      <c r="H26" s="5" t="s">
        <v>731</v>
      </c>
      <c r="I26" s="2" t="s">
        <v>434</v>
      </c>
      <c r="J26" s="2" t="s">
        <v>435</v>
      </c>
      <c r="K26" s="5" t="s">
        <v>731</v>
      </c>
      <c r="L26" s="2" t="s">
        <v>37</v>
      </c>
      <c r="M26" s="2" t="s">
        <v>37</v>
      </c>
      <c r="N26" s="2" t="s">
        <v>436</v>
      </c>
      <c r="O26" s="2" t="s">
        <v>437</v>
      </c>
      <c r="P26" s="2" t="s">
        <v>438</v>
      </c>
      <c r="Q26" s="5" t="s">
        <v>731</v>
      </c>
      <c r="R26" s="2" t="s">
        <v>439</v>
      </c>
      <c r="S26" s="2" t="s">
        <v>440</v>
      </c>
      <c r="T26" s="2" t="s">
        <v>37</v>
      </c>
      <c r="U26" s="2" t="s">
        <v>441</v>
      </c>
      <c r="V26" s="5" t="s">
        <v>731</v>
      </c>
      <c r="W26" s="2" t="s">
        <v>442</v>
      </c>
      <c r="X26" s="2" t="s">
        <v>443</v>
      </c>
      <c r="Y26" s="2" t="s">
        <v>444</v>
      </c>
      <c r="Z26" s="2" t="s">
        <v>37</v>
      </c>
      <c r="AA26" s="2" t="s">
        <v>37</v>
      </c>
      <c r="AB26" s="2" t="s">
        <v>445</v>
      </c>
      <c r="AC26" s="2" t="s">
        <v>446</v>
      </c>
      <c r="AD26" s="2" t="s">
        <v>447</v>
      </c>
      <c r="AE26" s="2" t="s">
        <v>448</v>
      </c>
      <c r="AF26" s="5" t="s">
        <v>731</v>
      </c>
      <c r="AG26" s="3">
        <f t="shared" si="0"/>
        <v>2</v>
      </c>
      <c r="AH26" s="3">
        <f t="shared" si="1"/>
        <v>0</v>
      </c>
      <c r="AI26" s="3">
        <f t="shared" si="2"/>
        <v>8</v>
      </c>
    </row>
    <row r="27" spans="1:35" ht="25.05" customHeight="1" x14ac:dyDescent="0.3">
      <c r="A27" s="2" t="s">
        <v>449</v>
      </c>
      <c r="B27" s="2" t="s">
        <v>450</v>
      </c>
      <c r="C27" s="2" t="s">
        <v>451</v>
      </c>
      <c r="D27" s="2" t="s">
        <v>452</v>
      </c>
      <c r="E27" s="2" t="s">
        <v>453</v>
      </c>
      <c r="F27" s="2" t="s">
        <v>37</v>
      </c>
      <c r="G27" s="5" t="s">
        <v>731</v>
      </c>
      <c r="H27" s="5" t="s">
        <v>731</v>
      </c>
      <c r="I27" s="5" t="s">
        <v>731</v>
      </c>
      <c r="J27" s="5" t="s">
        <v>731</v>
      </c>
      <c r="K27" s="5" t="s">
        <v>731</v>
      </c>
      <c r="L27" s="2" t="s">
        <v>37</v>
      </c>
      <c r="M27" s="2" t="s">
        <v>37</v>
      </c>
      <c r="N27" s="5" t="s">
        <v>731</v>
      </c>
      <c r="O27" s="2" t="s">
        <v>454</v>
      </c>
      <c r="P27" s="2" t="s">
        <v>455</v>
      </c>
      <c r="Q27" s="5" t="s">
        <v>731</v>
      </c>
      <c r="R27" s="5" t="s">
        <v>731</v>
      </c>
      <c r="S27" s="2" t="s">
        <v>456</v>
      </c>
      <c r="T27" s="2" t="s">
        <v>37</v>
      </c>
      <c r="U27" s="2"/>
      <c r="V27" s="2" t="s">
        <v>457</v>
      </c>
      <c r="W27" s="2" t="s">
        <v>458</v>
      </c>
      <c r="X27" s="5" t="s">
        <v>731</v>
      </c>
      <c r="Y27" s="5" t="s">
        <v>731</v>
      </c>
      <c r="Z27" s="2" t="s">
        <v>37</v>
      </c>
      <c r="AA27" s="2" t="s">
        <v>37</v>
      </c>
      <c r="AB27" s="2" t="s">
        <v>459</v>
      </c>
      <c r="AC27" s="2" t="s">
        <v>460</v>
      </c>
      <c r="AD27" s="2" t="s">
        <v>461</v>
      </c>
      <c r="AE27" s="2" t="s">
        <v>462</v>
      </c>
      <c r="AF27" s="5" t="s">
        <v>731</v>
      </c>
      <c r="AG27" s="3">
        <f t="shared" si="0"/>
        <v>2</v>
      </c>
      <c r="AH27" s="3">
        <f t="shared" si="1"/>
        <v>4</v>
      </c>
      <c r="AI27" s="3">
        <f t="shared" si="2"/>
        <v>11</v>
      </c>
    </row>
    <row r="28" spans="1:35" ht="25.05" customHeight="1" x14ac:dyDescent="0.3">
      <c r="A28" s="2" t="s">
        <v>463</v>
      </c>
      <c r="B28" s="2" t="s">
        <v>464</v>
      </c>
      <c r="C28" s="5" t="s">
        <v>731</v>
      </c>
      <c r="D28" s="5" t="s">
        <v>731</v>
      </c>
      <c r="E28" s="5" t="s">
        <v>731</v>
      </c>
      <c r="F28" s="2" t="s">
        <v>37</v>
      </c>
      <c r="G28" s="5" t="s">
        <v>731</v>
      </c>
      <c r="H28" s="5" t="s">
        <v>731</v>
      </c>
      <c r="I28" s="5" t="s">
        <v>731</v>
      </c>
      <c r="J28" s="5" t="s">
        <v>731</v>
      </c>
      <c r="K28" s="5" t="s">
        <v>731</v>
      </c>
      <c r="L28" s="2" t="s">
        <v>37</v>
      </c>
      <c r="M28" s="2" t="s">
        <v>37</v>
      </c>
      <c r="N28" s="2" t="s">
        <v>465</v>
      </c>
      <c r="O28" s="2" t="s">
        <v>466</v>
      </c>
      <c r="P28" s="2" t="s">
        <v>467</v>
      </c>
      <c r="Q28" s="2" t="s">
        <v>468</v>
      </c>
      <c r="R28" s="2" t="s">
        <v>469</v>
      </c>
      <c r="S28" s="5" t="s">
        <v>731</v>
      </c>
      <c r="T28" s="2" t="s">
        <v>37</v>
      </c>
      <c r="U28" s="2"/>
      <c r="V28" s="2" t="s">
        <v>470</v>
      </c>
      <c r="W28" s="5" t="s">
        <v>731</v>
      </c>
      <c r="X28" s="5" t="s">
        <v>731</v>
      </c>
      <c r="Y28" s="5" t="s">
        <v>731</v>
      </c>
      <c r="Z28" s="2" t="s">
        <v>37</v>
      </c>
      <c r="AA28" s="2" t="s">
        <v>37</v>
      </c>
      <c r="AB28" s="5" t="s">
        <v>731</v>
      </c>
      <c r="AC28" s="5" t="s">
        <v>731</v>
      </c>
      <c r="AD28" s="5" t="s">
        <v>731</v>
      </c>
      <c r="AE28" s="5" t="s">
        <v>731</v>
      </c>
      <c r="AF28" s="5" t="s">
        <v>731</v>
      </c>
      <c r="AG28" s="3">
        <f t="shared" si="0"/>
        <v>2</v>
      </c>
      <c r="AH28" s="3">
        <f t="shared" si="1"/>
        <v>6</v>
      </c>
      <c r="AI28" s="3">
        <f t="shared" si="2"/>
        <v>17</v>
      </c>
    </row>
    <row r="29" spans="1:35" ht="25.05" customHeight="1" x14ac:dyDescent="0.3">
      <c r="A29" s="2" t="s">
        <v>471</v>
      </c>
      <c r="B29" s="2" t="s">
        <v>472</v>
      </c>
      <c r="C29" s="2" t="s">
        <v>473</v>
      </c>
      <c r="D29" s="2" t="s">
        <v>474</v>
      </c>
      <c r="E29" s="2" t="s">
        <v>475</v>
      </c>
      <c r="F29" s="2" t="s">
        <v>37</v>
      </c>
      <c r="G29" s="2" t="s">
        <v>476</v>
      </c>
      <c r="H29" s="2" t="s">
        <v>477</v>
      </c>
      <c r="I29" s="2" t="s">
        <v>478</v>
      </c>
      <c r="J29" s="2" t="s">
        <v>479</v>
      </c>
      <c r="K29" s="2" t="s">
        <v>480</v>
      </c>
      <c r="L29" s="2" t="s">
        <v>37</v>
      </c>
      <c r="M29" s="2" t="s">
        <v>37</v>
      </c>
      <c r="N29" s="2" t="s">
        <v>481</v>
      </c>
      <c r="O29" s="2" t="s">
        <v>482</v>
      </c>
      <c r="P29" s="2" t="s">
        <v>483</v>
      </c>
      <c r="Q29" s="2" t="s">
        <v>484</v>
      </c>
      <c r="R29" s="2" t="s">
        <v>485</v>
      </c>
      <c r="S29" s="2" t="s">
        <v>486</v>
      </c>
      <c r="T29" s="2" t="s">
        <v>37</v>
      </c>
      <c r="U29" s="2" t="s">
        <v>487</v>
      </c>
      <c r="V29" s="5" t="s">
        <v>731</v>
      </c>
      <c r="W29" s="2" t="s">
        <v>488</v>
      </c>
      <c r="X29" s="2" t="s">
        <v>489</v>
      </c>
      <c r="Y29" s="2" t="s">
        <v>490</v>
      </c>
      <c r="Z29" s="2" t="s">
        <v>37</v>
      </c>
      <c r="AA29" s="2" t="s">
        <v>37</v>
      </c>
      <c r="AB29" s="2" t="s">
        <v>491</v>
      </c>
      <c r="AC29" s="2" t="s">
        <v>492</v>
      </c>
      <c r="AD29" s="2" t="s">
        <v>493</v>
      </c>
      <c r="AE29" s="2" t="s">
        <v>494</v>
      </c>
      <c r="AF29" s="2" t="s">
        <v>495</v>
      </c>
      <c r="AG29" s="3">
        <f t="shared" si="0"/>
        <v>0</v>
      </c>
      <c r="AH29" s="3">
        <f t="shared" si="1"/>
        <v>0</v>
      </c>
      <c r="AI29" s="3">
        <f t="shared" si="2"/>
        <v>1</v>
      </c>
    </row>
    <row r="30" spans="1:35" ht="25.05" customHeight="1" x14ac:dyDescent="0.3">
      <c r="A30" s="2" t="s">
        <v>496</v>
      </c>
      <c r="B30" s="2" t="s">
        <v>497</v>
      </c>
      <c r="C30" s="2" t="s">
        <v>498</v>
      </c>
      <c r="D30" s="2" t="s">
        <v>499</v>
      </c>
      <c r="E30" s="2" t="s">
        <v>500</v>
      </c>
      <c r="F30" s="2" t="s">
        <v>37</v>
      </c>
      <c r="G30" s="2" t="s">
        <v>501</v>
      </c>
      <c r="H30" s="2" t="s">
        <v>502</v>
      </c>
      <c r="I30" s="2" t="s">
        <v>503</v>
      </c>
      <c r="J30" s="2" t="s">
        <v>504</v>
      </c>
      <c r="K30" s="2" t="s">
        <v>505</v>
      </c>
      <c r="L30" s="2" t="s">
        <v>37</v>
      </c>
      <c r="M30" s="2" t="s">
        <v>37</v>
      </c>
      <c r="N30" s="2" t="s">
        <v>506</v>
      </c>
      <c r="O30" s="2" t="s">
        <v>507</v>
      </c>
      <c r="P30" s="2" t="s">
        <v>508</v>
      </c>
      <c r="Q30" s="2" t="s">
        <v>509</v>
      </c>
      <c r="R30" s="2" t="s">
        <v>510</v>
      </c>
      <c r="S30" s="2" t="s">
        <v>511</v>
      </c>
      <c r="T30" s="2" t="s">
        <v>37</v>
      </c>
      <c r="U30" s="2" t="s">
        <v>512</v>
      </c>
      <c r="V30" s="2" t="s">
        <v>513</v>
      </c>
      <c r="W30" s="2" t="s">
        <v>514</v>
      </c>
      <c r="X30" s="2" t="s">
        <v>515</v>
      </c>
      <c r="Y30" s="5" t="s">
        <v>731</v>
      </c>
      <c r="Z30" s="2" t="s">
        <v>37</v>
      </c>
      <c r="AA30" s="2" t="s">
        <v>37</v>
      </c>
      <c r="AB30" s="2" t="s">
        <v>516</v>
      </c>
      <c r="AC30" s="2" t="s">
        <v>517</v>
      </c>
      <c r="AD30" s="2" t="s">
        <v>518</v>
      </c>
      <c r="AE30" s="2" t="s">
        <v>519</v>
      </c>
      <c r="AF30" s="2" t="s">
        <v>520</v>
      </c>
      <c r="AG30" s="3">
        <f t="shared" si="0"/>
        <v>1</v>
      </c>
      <c r="AH30" s="3">
        <f t="shared" si="1"/>
        <v>2</v>
      </c>
      <c r="AI30" s="3">
        <f t="shared" si="2"/>
        <v>1</v>
      </c>
    </row>
    <row r="31" spans="1:35" ht="25.05" customHeight="1" x14ac:dyDescent="0.3">
      <c r="A31" s="2" t="s">
        <v>521</v>
      </c>
      <c r="B31" s="2" t="s">
        <v>522</v>
      </c>
      <c r="C31" s="2" t="s">
        <v>523</v>
      </c>
      <c r="D31" s="2" t="s">
        <v>524</v>
      </c>
      <c r="E31" s="5" t="s">
        <v>731</v>
      </c>
      <c r="F31" s="2" t="s">
        <v>37</v>
      </c>
      <c r="G31" s="2" t="s">
        <v>525</v>
      </c>
      <c r="H31" s="2" t="s">
        <v>526</v>
      </c>
      <c r="I31" s="2" t="s">
        <v>527</v>
      </c>
      <c r="J31" s="2" t="s">
        <v>528</v>
      </c>
      <c r="K31" s="2" t="s">
        <v>529</v>
      </c>
      <c r="L31" s="2" t="s">
        <v>37</v>
      </c>
      <c r="M31" s="2" t="s">
        <v>37</v>
      </c>
      <c r="N31" s="2" t="s">
        <v>530</v>
      </c>
      <c r="O31" s="2" t="s">
        <v>531</v>
      </c>
      <c r="P31" s="2" t="s">
        <v>532</v>
      </c>
      <c r="Q31" s="5" t="s">
        <v>731</v>
      </c>
      <c r="R31" s="5" t="s">
        <v>731</v>
      </c>
      <c r="S31" s="2" t="s">
        <v>533</v>
      </c>
      <c r="T31" s="2" t="s">
        <v>37</v>
      </c>
      <c r="U31" s="2" t="s">
        <v>534</v>
      </c>
      <c r="V31" s="2" t="s">
        <v>535</v>
      </c>
      <c r="W31" s="2" t="s">
        <v>536</v>
      </c>
      <c r="X31" s="2" t="s">
        <v>537</v>
      </c>
      <c r="Y31" s="2" t="s">
        <v>538</v>
      </c>
      <c r="Z31" s="2" t="s">
        <v>37</v>
      </c>
      <c r="AA31" s="2" t="s">
        <v>37</v>
      </c>
      <c r="AB31" s="2" t="s">
        <v>539</v>
      </c>
      <c r="AC31" s="5" t="s">
        <v>731</v>
      </c>
      <c r="AD31" s="5" t="s">
        <v>731</v>
      </c>
      <c r="AE31" s="5" t="s">
        <v>731</v>
      </c>
      <c r="AF31" s="5" t="s">
        <v>731</v>
      </c>
      <c r="AG31" s="3">
        <f t="shared" si="0"/>
        <v>0</v>
      </c>
      <c r="AH31" s="3">
        <f t="shared" si="1"/>
        <v>1</v>
      </c>
      <c r="AI31" s="3">
        <f t="shared" si="2"/>
        <v>7</v>
      </c>
    </row>
    <row r="32" spans="1:35" ht="25.05" customHeight="1" x14ac:dyDescent="0.3">
      <c r="A32" s="2" t="s">
        <v>540</v>
      </c>
      <c r="B32" s="2" t="s">
        <v>541</v>
      </c>
      <c r="C32" s="5" t="s">
        <v>731</v>
      </c>
      <c r="D32" s="5" t="s">
        <v>731</v>
      </c>
      <c r="E32" s="5" t="s">
        <v>731</v>
      </c>
      <c r="F32" s="2" t="s">
        <v>37</v>
      </c>
      <c r="G32" s="5" t="s">
        <v>731</v>
      </c>
      <c r="H32" s="5" t="s">
        <v>731</v>
      </c>
      <c r="I32" s="5" t="s">
        <v>731</v>
      </c>
      <c r="J32" s="2"/>
      <c r="K32" s="2"/>
      <c r="L32" s="2" t="s">
        <v>37</v>
      </c>
      <c r="M32" s="2" t="s">
        <v>37</v>
      </c>
      <c r="N32" s="5" t="s">
        <v>731</v>
      </c>
      <c r="O32" s="5" t="s">
        <v>731</v>
      </c>
      <c r="P32" s="5" t="s">
        <v>731</v>
      </c>
      <c r="Q32" s="5" t="s">
        <v>731</v>
      </c>
      <c r="R32" s="5" t="s">
        <v>731</v>
      </c>
      <c r="S32" s="5" t="s">
        <v>731</v>
      </c>
      <c r="T32" s="2" t="s">
        <v>37</v>
      </c>
      <c r="U32" s="2"/>
      <c r="V32" s="5" t="s">
        <v>731</v>
      </c>
      <c r="W32" s="5" t="s">
        <v>731</v>
      </c>
      <c r="X32" s="5" t="s">
        <v>731</v>
      </c>
      <c r="Y32" s="5" t="s">
        <v>731</v>
      </c>
      <c r="Z32" s="2" t="s">
        <v>37</v>
      </c>
      <c r="AA32" s="2" t="s">
        <v>37</v>
      </c>
      <c r="AB32" s="5" t="s">
        <v>731</v>
      </c>
      <c r="AC32" s="5" t="s">
        <v>731</v>
      </c>
      <c r="AD32" s="5" t="s">
        <v>731</v>
      </c>
      <c r="AE32" s="5" t="s">
        <v>731</v>
      </c>
      <c r="AF32" s="5" t="s">
        <v>731</v>
      </c>
      <c r="AG32" s="3">
        <f t="shared" si="0"/>
        <v>0</v>
      </c>
      <c r="AH32" s="3">
        <f t="shared" si="1"/>
        <v>0</v>
      </c>
      <c r="AI32" s="3">
        <f t="shared" si="2"/>
        <v>21</v>
      </c>
    </row>
    <row r="33" spans="1:35" ht="25.05" customHeight="1" x14ac:dyDescent="0.3">
      <c r="A33" s="2" t="s">
        <v>542</v>
      </c>
      <c r="B33" s="2" t="s">
        <v>543</v>
      </c>
      <c r="C33" s="2" t="s">
        <v>544</v>
      </c>
      <c r="D33" s="2" t="s">
        <v>545</v>
      </c>
      <c r="E33" s="2" t="s">
        <v>546</v>
      </c>
      <c r="F33" s="2" t="s">
        <v>37</v>
      </c>
      <c r="G33" s="2" t="s">
        <v>547</v>
      </c>
      <c r="H33" s="2" t="s">
        <v>548</v>
      </c>
      <c r="I33" s="2" t="s">
        <v>549</v>
      </c>
      <c r="J33" s="2" t="s">
        <v>550</v>
      </c>
      <c r="K33" s="2" t="s">
        <v>551</v>
      </c>
      <c r="L33" s="2" t="s">
        <v>37</v>
      </c>
      <c r="M33" s="2" t="s">
        <v>37</v>
      </c>
      <c r="N33" s="2" t="s">
        <v>552</v>
      </c>
      <c r="O33" s="2" t="s">
        <v>553</v>
      </c>
      <c r="P33" s="2" t="s">
        <v>554</v>
      </c>
      <c r="Q33" s="2" t="s">
        <v>555</v>
      </c>
      <c r="R33" s="2" t="s">
        <v>556</v>
      </c>
      <c r="S33" s="2" t="s">
        <v>557</v>
      </c>
      <c r="T33" s="2" t="s">
        <v>37</v>
      </c>
      <c r="U33" s="2" t="s">
        <v>558</v>
      </c>
      <c r="V33" s="2" t="s">
        <v>559</v>
      </c>
      <c r="W33" s="2" t="s">
        <v>560</v>
      </c>
      <c r="X33" s="2" t="s">
        <v>561</v>
      </c>
      <c r="Y33" s="2" t="s">
        <v>562</v>
      </c>
      <c r="Z33" s="2" t="s">
        <v>37</v>
      </c>
      <c r="AA33" s="2" t="s">
        <v>37</v>
      </c>
      <c r="AB33" s="2" t="s">
        <v>563</v>
      </c>
      <c r="AC33" s="2" t="s">
        <v>564</v>
      </c>
      <c r="AD33" s="2" t="s">
        <v>565</v>
      </c>
      <c r="AE33" s="2" t="s">
        <v>566</v>
      </c>
      <c r="AF33" s="2" t="s">
        <v>567</v>
      </c>
      <c r="AG33" s="3">
        <f t="shared" si="0"/>
        <v>7</v>
      </c>
      <c r="AH33" s="3">
        <f t="shared" si="1"/>
        <v>0</v>
      </c>
      <c r="AI33" s="3">
        <f t="shared" si="2"/>
        <v>0</v>
      </c>
    </row>
    <row r="34" spans="1:35" ht="25.05" customHeight="1" x14ac:dyDescent="0.3">
      <c r="A34" s="2" t="s">
        <v>568</v>
      </c>
      <c r="B34" s="2" t="s">
        <v>569</v>
      </c>
      <c r="C34" s="5" t="s">
        <v>731</v>
      </c>
      <c r="D34" s="5" t="s">
        <v>731</v>
      </c>
      <c r="E34" s="5" t="s">
        <v>731</v>
      </c>
      <c r="F34" s="2" t="s">
        <v>37</v>
      </c>
      <c r="G34" s="5" t="s">
        <v>731</v>
      </c>
      <c r="H34" s="5" t="s">
        <v>731</v>
      </c>
      <c r="I34" s="5" t="s">
        <v>731</v>
      </c>
      <c r="J34" s="2"/>
      <c r="K34" s="2"/>
      <c r="L34" s="2" t="s">
        <v>37</v>
      </c>
      <c r="M34" s="2" t="s">
        <v>37</v>
      </c>
      <c r="N34" s="5" t="s">
        <v>731</v>
      </c>
      <c r="O34" s="5" t="s">
        <v>731</v>
      </c>
      <c r="P34" s="5" t="s">
        <v>731</v>
      </c>
      <c r="Q34" s="5" t="s">
        <v>731</v>
      </c>
      <c r="R34" s="5" t="s">
        <v>731</v>
      </c>
      <c r="S34" s="5" t="s">
        <v>731</v>
      </c>
      <c r="T34" s="2" t="s">
        <v>37</v>
      </c>
      <c r="U34" s="2"/>
      <c r="V34" s="5" t="s">
        <v>731</v>
      </c>
      <c r="W34" s="2" t="s">
        <v>570</v>
      </c>
      <c r="X34" s="2" t="s">
        <v>571</v>
      </c>
      <c r="Y34" s="2" t="s">
        <v>572</v>
      </c>
      <c r="Z34" s="2" t="s">
        <v>37</v>
      </c>
      <c r="AA34" s="2" t="s">
        <v>37</v>
      </c>
      <c r="AB34" s="2" t="s">
        <v>573</v>
      </c>
      <c r="AC34" s="2" t="s">
        <v>574</v>
      </c>
      <c r="AD34" s="2" t="s">
        <v>575</v>
      </c>
      <c r="AE34" s="2" t="s">
        <v>576</v>
      </c>
      <c r="AF34" s="2" t="s">
        <v>577</v>
      </c>
      <c r="AG34" s="3">
        <f t="shared" si="0"/>
        <v>2</v>
      </c>
      <c r="AH34" s="3">
        <f t="shared" si="1"/>
        <v>2</v>
      </c>
      <c r="AI34" s="3">
        <f t="shared" si="2"/>
        <v>13</v>
      </c>
    </row>
    <row r="35" spans="1:35" ht="25.05" customHeight="1" x14ac:dyDescent="0.3">
      <c r="A35" s="2" t="s">
        <v>578</v>
      </c>
      <c r="B35" s="2" t="s">
        <v>579</v>
      </c>
      <c r="C35" s="2" t="s">
        <v>580</v>
      </c>
      <c r="D35" s="2" t="s">
        <v>581</v>
      </c>
      <c r="E35" s="2" t="s">
        <v>582</v>
      </c>
      <c r="F35" s="2" t="s">
        <v>37</v>
      </c>
      <c r="G35" s="2" t="s">
        <v>583</v>
      </c>
      <c r="H35" s="2" t="s">
        <v>584</v>
      </c>
      <c r="I35" s="2" t="s">
        <v>585</v>
      </c>
      <c r="J35" s="2" t="s">
        <v>586</v>
      </c>
      <c r="K35" s="2"/>
      <c r="L35" s="2" t="s">
        <v>37</v>
      </c>
      <c r="M35" s="2" t="s">
        <v>37</v>
      </c>
      <c r="N35" s="2" t="s">
        <v>587</v>
      </c>
      <c r="O35" s="2" t="s">
        <v>588</v>
      </c>
      <c r="P35" s="2" t="s">
        <v>589</v>
      </c>
      <c r="Q35" s="2" t="s">
        <v>590</v>
      </c>
      <c r="R35" s="5" t="s">
        <v>731</v>
      </c>
      <c r="S35" s="2" t="s">
        <v>591</v>
      </c>
      <c r="T35" s="2" t="s">
        <v>37</v>
      </c>
      <c r="U35" s="2" t="s">
        <v>592</v>
      </c>
      <c r="V35" s="2" t="s">
        <v>593</v>
      </c>
      <c r="W35" s="2" t="s">
        <v>594</v>
      </c>
      <c r="X35" s="2" t="s">
        <v>595</v>
      </c>
      <c r="Y35" s="2" t="s">
        <v>596</v>
      </c>
      <c r="Z35" s="2" t="s">
        <v>37</v>
      </c>
      <c r="AA35" s="2" t="s">
        <v>37</v>
      </c>
      <c r="AB35" s="2" t="s">
        <v>597</v>
      </c>
      <c r="AC35" s="2" t="s">
        <v>598</v>
      </c>
      <c r="AD35" s="2" t="s">
        <v>599</v>
      </c>
      <c r="AE35" s="5" t="s">
        <v>731</v>
      </c>
      <c r="AF35" s="2" t="s">
        <v>600</v>
      </c>
      <c r="AG35" s="3">
        <f t="shared" si="0"/>
        <v>1</v>
      </c>
      <c r="AH35" s="3">
        <f t="shared" si="1"/>
        <v>1</v>
      </c>
      <c r="AI35" s="3">
        <f t="shared" si="2"/>
        <v>2</v>
      </c>
    </row>
    <row r="36" spans="1:35" ht="25.05" customHeight="1" x14ac:dyDescent="0.3">
      <c r="A36" s="2" t="s">
        <v>601</v>
      </c>
      <c r="B36" s="2" t="s">
        <v>602</v>
      </c>
      <c r="C36" s="5" t="s">
        <v>731</v>
      </c>
      <c r="D36" s="5" t="s">
        <v>731</v>
      </c>
      <c r="E36" s="5" t="s">
        <v>731</v>
      </c>
      <c r="F36" s="2" t="s">
        <v>37</v>
      </c>
      <c r="G36" s="5" t="s">
        <v>731</v>
      </c>
      <c r="H36" s="2" t="s">
        <v>603</v>
      </c>
      <c r="I36" s="2" t="s">
        <v>604</v>
      </c>
      <c r="J36" s="2" t="s">
        <v>605</v>
      </c>
      <c r="K36" s="2" t="s">
        <v>606</v>
      </c>
      <c r="L36" s="2" t="s">
        <v>37</v>
      </c>
      <c r="M36" s="2" t="s">
        <v>37</v>
      </c>
      <c r="N36" s="2" t="s">
        <v>607</v>
      </c>
      <c r="O36" s="2" t="s">
        <v>608</v>
      </c>
      <c r="P36" s="2" t="s">
        <v>609</v>
      </c>
      <c r="Q36" s="2" t="s">
        <v>610</v>
      </c>
      <c r="R36" s="2" t="s">
        <v>611</v>
      </c>
      <c r="S36" s="2" t="s">
        <v>612</v>
      </c>
      <c r="T36" s="2" t="s">
        <v>37</v>
      </c>
      <c r="U36" s="2" t="s">
        <v>613</v>
      </c>
      <c r="V36" s="2" t="s">
        <v>614</v>
      </c>
      <c r="W36" s="2" t="s">
        <v>615</v>
      </c>
      <c r="X36" s="2" t="s">
        <v>616</v>
      </c>
      <c r="Y36" s="2" t="s">
        <v>617</v>
      </c>
      <c r="Z36" s="2" t="s">
        <v>37</v>
      </c>
      <c r="AA36" s="2" t="s">
        <v>37</v>
      </c>
      <c r="AB36" s="2" t="s">
        <v>618</v>
      </c>
      <c r="AC36" s="2" t="s">
        <v>619</v>
      </c>
      <c r="AD36" s="2" t="s">
        <v>620</v>
      </c>
      <c r="AE36" s="2" t="s">
        <v>621</v>
      </c>
      <c r="AF36" s="5" t="s">
        <v>731</v>
      </c>
      <c r="AG36" s="3">
        <f t="shared" si="0"/>
        <v>1</v>
      </c>
      <c r="AH36" s="3">
        <f t="shared" si="1"/>
        <v>1</v>
      </c>
      <c r="AI36" s="3">
        <f t="shared" si="2"/>
        <v>5</v>
      </c>
    </row>
    <row r="37" spans="1:35" ht="25.05" customHeight="1" x14ac:dyDescent="0.3">
      <c r="A37" s="2" t="s">
        <v>622</v>
      </c>
      <c r="B37" s="2" t="s">
        <v>623</v>
      </c>
      <c r="C37" s="2" t="s">
        <v>624</v>
      </c>
      <c r="D37" s="2" t="s">
        <v>625</v>
      </c>
      <c r="E37" s="5" t="s">
        <v>731</v>
      </c>
      <c r="F37" s="2" t="s">
        <v>37</v>
      </c>
      <c r="G37" s="2" t="s">
        <v>626</v>
      </c>
      <c r="H37" s="2" t="s">
        <v>627</v>
      </c>
      <c r="I37" s="2" t="s">
        <v>628</v>
      </c>
      <c r="J37" s="2" t="s">
        <v>629</v>
      </c>
      <c r="K37" s="2" t="s">
        <v>630</v>
      </c>
      <c r="L37" s="2" t="s">
        <v>37</v>
      </c>
      <c r="M37" s="2" t="s">
        <v>37</v>
      </c>
      <c r="N37" s="2" t="s">
        <v>631</v>
      </c>
      <c r="O37" s="5" t="s">
        <v>731</v>
      </c>
      <c r="P37" s="2" t="s">
        <v>632</v>
      </c>
      <c r="Q37" s="2" t="s">
        <v>633</v>
      </c>
      <c r="R37" s="2" t="s">
        <v>634</v>
      </c>
      <c r="S37" s="2" t="s">
        <v>635</v>
      </c>
      <c r="T37" s="2" t="s">
        <v>37</v>
      </c>
      <c r="U37" s="2" t="s">
        <v>636</v>
      </c>
      <c r="V37" s="2" t="s">
        <v>637</v>
      </c>
      <c r="W37" s="2" t="s">
        <v>638</v>
      </c>
      <c r="X37" s="2" t="s">
        <v>639</v>
      </c>
      <c r="Y37" s="2" t="s">
        <v>640</v>
      </c>
      <c r="Z37" s="2" t="s">
        <v>37</v>
      </c>
      <c r="AA37" s="2" t="s">
        <v>37</v>
      </c>
      <c r="AB37" s="5" t="s">
        <v>731</v>
      </c>
      <c r="AC37" s="2" t="s">
        <v>641</v>
      </c>
      <c r="AD37" s="2" t="s">
        <v>642</v>
      </c>
      <c r="AE37" s="2" t="s">
        <v>643</v>
      </c>
      <c r="AF37" s="2" t="s">
        <v>644</v>
      </c>
      <c r="AG37" s="3">
        <f t="shared" si="0"/>
        <v>9</v>
      </c>
      <c r="AH37" s="3">
        <f t="shared" si="1"/>
        <v>0</v>
      </c>
      <c r="AI37" s="3">
        <f t="shared" si="2"/>
        <v>3</v>
      </c>
    </row>
    <row r="38" spans="1:35" ht="25.05" customHeight="1" x14ac:dyDescent="0.3">
      <c r="A38" s="2" t="s">
        <v>645</v>
      </c>
      <c r="B38" s="2" t="s">
        <v>646</v>
      </c>
      <c r="C38" s="5" t="s">
        <v>731</v>
      </c>
      <c r="D38" s="5" t="s">
        <v>731</v>
      </c>
      <c r="E38" s="2" t="s">
        <v>647</v>
      </c>
      <c r="F38" s="2" t="s">
        <v>37</v>
      </c>
      <c r="G38" s="5" t="s">
        <v>731</v>
      </c>
      <c r="H38" s="2" t="s">
        <v>648</v>
      </c>
      <c r="I38" s="2" t="s">
        <v>649</v>
      </c>
      <c r="J38" s="2" t="s">
        <v>650</v>
      </c>
      <c r="K38" s="2" t="s">
        <v>651</v>
      </c>
      <c r="L38" s="2" t="s">
        <v>37</v>
      </c>
      <c r="M38" s="2" t="s">
        <v>37</v>
      </c>
      <c r="N38" s="2" t="s">
        <v>652</v>
      </c>
      <c r="O38" s="2" t="s">
        <v>653</v>
      </c>
      <c r="P38" s="2" t="s">
        <v>654</v>
      </c>
      <c r="Q38" s="2" t="s">
        <v>655</v>
      </c>
      <c r="R38" s="2" t="s">
        <v>656</v>
      </c>
      <c r="S38" s="2" t="s">
        <v>657</v>
      </c>
      <c r="T38" s="2" t="s">
        <v>37</v>
      </c>
      <c r="U38" s="2" t="s">
        <v>658</v>
      </c>
      <c r="V38" s="2" t="s">
        <v>659</v>
      </c>
      <c r="W38" s="2" t="s">
        <v>660</v>
      </c>
      <c r="X38" s="2" t="s">
        <v>661</v>
      </c>
      <c r="Y38" s="2" t="s">
        <v>662</v>
      </c>
      <c r="Z38" s="2" t="s">
        <v>37</v>
      </c>
      <c r="AA38" s="2" t="s">
        <v>37</v>
      </c>
      <c r="AB38" s="2" t="s">
        <v>663</v>
      </c>
      <c r="AC38" s="2" t="s">
        <v>664</v>
      </c>
      <c r="AD38" s="2" t="s">
        <v>665</v>
      </c>
      <c r="AE38" s="2" t="s">
        <v>666</v>
      </c>
      <c r="AF38" s="2" t="s">
        <v>667</v>
      </c>
      <c r="AG38" s="3">
        <f t="shared" si="0"/>
        <v>20</v>
      </c>
      <c r="AH38" s="3">
        <f t="shared" si="1"/>
        <v>3</v>
      </c>
      <c r="AI38" s="3">
        <f t="shared" si="2"/>
        <v>3</v>
      </c>
    </row>
    <row r="39" spans="1:35" ht="25.05" customHeight="1" x14ac:dyDescent="0.3">
      <c r="A39" s="2" t="s">
        <v>668</v>
      </c>
      <c r="B39" s="2" t="s">
        <v>669</v>
      </c>
      <c r="C39" s="5" t="s">
        <v>731</v>
      </c>
      <c r="D39" s="5" t="s">
        <v>731</v>
      </c>
      <c r="E39" s="5" t="s">
        <v>731</v>
      </c>
      <c r="F39" s="2" t="s">
        <v>37</v>
      </c>
      <c r="G39" s="2" t="s">
        <v>670</v>
      </c>
      <c r="H39" s="2" t="s">
        <v>671</v>
      </c>
      <c r="I39" s="5" t="s">
        <v>731</v>
      </c>
      <c r="J39" s="2" t="s">
        <v>672</v>
      </c>
      <c r="K39" s="2" t="s">
        <v>673</v>
      </c>
      <c r="L39" s="2" t="s">
        <v>37</v>
      </c>
      <c r="M39" s="2" t="s">
        <v>37</v>
      </c>
      <c r="N39" s="2" t="s">
        <v>674</v>
      </c>
      <c r="O39" s="5" t="s">
        <v>731</v>
      </c>
      <c r="P39" s="2" t="s">
        <v>675</v>
      </c>
      <c r="Q39" s="2" t="s">
        <v>676</v>
      </c>
      <c r="R39" s="5" t="s">
        <v>731</v>
      </c>
      <c r="S39" s="2" t="s">
        <v>677</v>
      </c>
      <c r="T39" s="2" t="s">
        <v>37</v>
      </c>
      <c r="U39" s="2" t="s">
        <v>678</v>
      </c>
      <c r="V39" s="2" t="s">
        <v>679</v>
      </c>
      <c r="W39" s="5" t="s">
        <v>731</v>
      </c>
      <c r="X39" s="5" t="s">
        <v>731</v>
      </c>
      <c r="Y39" s="5" t="s">
        <v>731</v>
      </c>
      <c r="Z39" s="2" t="s">
        <v>37</v>
      </c>
      <c r="AA39" s="2" t="s">
        <v>37</v>
      </c>
      <c r="AB39" s="5" t="s">
        <v>731</v>
      </c>
      <c r="AC39" s="5" t="s">
        <v>731</v>
      </c>
      <c r="AD39" s="5" t="s">
        <v>731</v>
      </c>
      <c r="AE39" s="5" t="s">
        <v>731</v>
      </c>
      <c r="AF39" s="5" t="s">
        <v>731</v>
      </c>
      <c r="AG39" s="3">
        <f t="shared" si="0"/>
        <v>2</v>
      </c>
      <c r="AH39" s="3">
        <f t="shared" si="1"/>
        <v>3</v>
      </c>
      <c r="AI39" s="3">
        <f t="shared" si="2"/>
        <v>14</v>
      </c>
    </row>
    <row r="40" spans="1:35" ht="25.05" customHeight="1" x14ac:dyDescent="0.3">
      <c r="A40" s="2" t="s">
        <v>680</v>
      </c>
      <c r="B40" s="2" t="s">
        <v>681</v>
      </c>
      <c r="C40" s="5" t="s">
        <v>731</v>
      </c>
      <c r="D40" s="5" t="s">
        <v>731</v>
      </c>
      <c r="E40" s="5" t="s">
        <v>731</v>
      </c>
      <c r="F40" s="2" t="s">
        <v>37</v>
      </c>
      <c r="G40" s="5" t="s">
        <v>731</v>
      </c>
      <c r="H40" s="2" t="s">
        <v>682</v>
      </c>
      <c r="I40" s="2" t="s">
        <v>683</v>
      </c>
      <c r="J40" s="2" t="s">
        <v>684</v>
      </c>
      <c r="K40" s="2" t="s">
        <v>685</v>
      </c>
      <c r="L40" s="2" t="s">
        <v>37</v>
      </c>
      <c r="M40" s="2" t="s">
        <v>37</v>
      </c>
      <c r="N40" s="2" t="s">
        <v>686</v>
      </c>
      <c r="O40" s="2" t="s">
        <v>687</v>
      </c>
      <c r="P40" s="2" t="s">
        <v>688</v>
      </c>
      <c r="Q40" s="2" t="s">
        <v>689</v>
      </c>
      <c r="R40" s="2" t="s">
        <v>690</v>
      </c>
      <c r="S40" s="2" t="s">
        <v>691</v>
      </c>
      <c r="T40" s="2" t="s">
        <v>37</v>
      </c>
      <c r="U40" s="2" t="s">
        <v>692</v>
      </c>
      <c r="V40" s="2" t="s">
        <v>693</v>
      </c>
      <c r="W40" s="2" t="s">
        <v>694</v>
      </c>
      <c r="X40" s="2" t="s">
        <v>695</v>
      </c>
      <c r="Y40" s="2" t="s">
        <v>696</v>
      </c>
      <c r="Z40" s="2" t="s">
        <v>37</v>
      </c>
      <c r="AA40" s="2" t="s">
        <v>37</v>
      </c>
      <c r="AB40" s="2" t="s">
        <v>697</v>
      </c>
      <c r="AC40" s="2" t="s">
        <v>698</v>
      </c>
      <c r="AD40" s="2" t="s">
        <v>699</v>
      </c>
      <c r="AE40" s="5" t="s">
        <v>731</v>
      </c>
      <c r="AF40" s="2" t="s">
        <v>700</v>
      </c>
      <c r="AG40" s="3">
        <f t="shared" si="0"/>
        <v>7</v>
      </c>
      <c r="AH40" s="3">
        <f t="shared" si="1"/>
        <v>2</v>
      </c>
      <c r="AI40" s="3">
        <f t="shared" si="2"/>
        <v>5</v>
      </c>
    </row>
    <row r="41" spans="1:35" ht="25.05" customHeight="1" x14ac:dyDescent="0.3">
      <c r="A41" s="2" t="s">
        <v>701</v>
      </c>
      <c r="B41" s="2" t="s">
        <v>702</v>
      </c>
      <c r="C41" s="2" t="s">
        <v>703</v>
      </c>
      <c r="D41" s="2" t="s">
        <v>704</v>
      </c>
      <c r="E41" s="2" t="s">
        <v>705</v>
      </c>
      <c r="F41" s="2" t="s">
        <v>37</v>
      </c>
      <c r="G41" s="2" t="s">
        <v>706</v>
      </c>
      <c r="H41" s="2" t="s">
        <v>707</v>
      </c>
      <c r="I41" s="2" t="s">
        <v>708</v>
      </c>
      <c r="J41" s="2" t="s">
        <v>709</v>
      </c>
      <c r="K41" s="2" t="s">
        <v>710</v>
      </c>
      <c r="L41" s="2" t="s">
        <v>37</v>
      </c>
      <c r="M41" s="2" t="s">
        <v>37</v>
      </c>
      <c r="N41" s="2" t="s">
        <v>711</v>
      </c>
      <c r="O41" s="2" t="s">
        <v>712</v>
      </c>
      <c r="P41" s="2" t="s">
        <v>713</v>
      </c>
      <c r="Q41" s="2" t="s">
        <v>714</v>
      </c>
      <c r="R41" s="2" t="s">
        <v>715</v>
      </c>
      <c r="S41" s="2" t="s">
        <v>716</v>
      </c>
      <c r="T41" s="2" t="s">
        <v>37</v>
      </c>
      <c r="U41" s="2" t="s">
        <v>717</v>
      </c>
      <c r="V41" s="2" t="s">
        <v>718</v>
      </c>
      <c r="W41" s="2" t="s">
        <v>719</v>
      </c>
      <c r="X41" s="2" t="s">
        <v>720</v>
      </c>
      <c r="Y41" s="2" t="s">
        <v>721</v>
      </c>
      <c r="Z41" s="2" t="s">
        <v>37</v>
      </c>
      <c r="AA41" s="2" t="s">
        <v>37</v>
      </c>
      <c r="AB41" s="5" t="s">
        <v>731</v>
      </c>
      <c r="AC41" s="2" t="s">
        <v>722</v>
      </c>
      <c r="AD41" s="2" t="s">
        <v>723</v>
      </c>
      <c r="AE41" s="2" t="s">
        <v>724</v>
      </c>
      <c r="AF41" s="2" t="s">
        <v>725</v>
      </c>
      <c r="AG41" s="3">
        <f t="shared" si="0"/>
        <v>1</v>
      </c>
      <c r="AH41" s="3">
        <f t="shared" si="1"/>
        <v>1</v>
      </c>
      <c r="AI41" s="3">
        <f t="shared" si="2"/>
        <v>1</v>
      </c>
    </row>
    <row r="42" spans="1:35" ht="13.2" x14ac:dyDescent="0.25"/>
  </sheetData>
  <mergeCells count="1">
    <mergeCell ref="C1:AI1"/>
  </mergeCells>
  <pageMargins left="0.5" right="0.5" top="1" bottom="1" header="0.5" footer="0.5"/>
  <pageSetup orientation="portrait" useFirstPageNumber="1" r:id="rId1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Asus</cp:lastModifiedBy>
  <cp:revision>0</cp:revision>
  <dcterms:created xsi:type="dcterms:W3CDTF">2023-07-03T11:29:27Z</dcterms:created>
  <dcterms:modified xsi:type="dcterms:W3CDTF">2023-07-03T07:16:20Z</dcterms:modified>
</cp:coreProperties>
</file>